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acter" sheetId="1" state="visible" r:id="rId3"/>
    <sheet name="Spells" sheetId="2" state="visible" r:id="rId4"/>
    <sheet name="Features" sheetId="3" state="visible" r:id="rId5"/>
    <sheet name="Inventory" sheetId="4" state="visible" r:id="rId6"/>
    <sheet name="Background" sheetId="5" state="visible" r:id="rId7"/>
    <sheet name="About" sheetId="6" state="visible" r:id="rId8"/>
    <sheet name="Keys" sheetId="7" state="visible" r:id="rId9"/>
    <sheet name="SRD" sheetId="8" state="visible" r:id="rId10"/>
  </sheets>
  <definedNames>
    <definedName function="false" hidden="false" name="cc.abilities.cha.modifier" vbProcedure="false">Character!$D$24</definedName>
    <definedName function="false" hidden="false" name="cc.abilities.cha.save.bonus" vbProcedure="false">Character!$F$24</definedName>
    <definedName function="false" hidden="false" name="cc.abilities.cha.save.proficient" vbProcedure="false">Character!$E$24</definedName>
    <definedName function="false" hidden="false" name="cc.abilities.cha.total" vbProcedure="false">Character!$C$24</definedName>
    <definedName function="false" hidden="false" name="cc.abilities.con.modifier" vbProcedure="false">Character!$D$21</definedName>
    <definedName function="false" hidden="false" name="cc.abilities.con.save.bonus" vbProcedure="false">Character!$F$21</definedName>
    <definedName function="false" hidden="false" name="cc.abilities.con.save.proficient" vbProcedure="false">Character!$E$21</definedName>
    <definedName function="false" hidden="false" name="cc.abilities.con.total" vbProcedure="false">Character!$C$21</definedName>
    <definedName function="false" hidden="false" name="cc.abilities.dex.modifier" vbProcedure="false">Character!$D$20</definedName>
    <definedName function="false" hidden="false" name="cc.abilities.dex.save.bonus" vbProcedure="false">Character!$F$20</definedName>
    <definedName function="false" hidden="false" name="cc.abilities.dex.save.proficient" vbProcedure="false">Character!$E$20</definedName>
    <definedName function="false" hidden="false" name="cc.abilities.dex.total" vbProcedure="false">Character!$C$20</definedName>
    <definedName function="false" hidden="false" name="cc.abilities.int.modifier" vbProcedure="false">Character!$D$22</definedName>
    <definedName function="false" hidden="false" name="cc.abilities.int.save.bonus" vbProcedure="false">Character!$F$22</definedName>
    <definedName function="false" hidden="false" name="cc.abilities.int.save.proficient" vbProcedure="false">Character!$E$22</definedName>
    <definedName function="false" hidden="false" name="cc.abilities.int.total" vbProcedure="false">Character!$C$22</definedName>
    <definedName function="false" hidden="false" name="cc.abilities.str.modifier" vbProcedure="false">Character!$D$19</definedName>
    <definedName function="false" hidden="false" name="cc.abilities.str.save.bonus" vbProcedure="false">Character!$F$19</definedName>
    <definedName function="false" hidden="false" name="cc.abilities.str.save.proficient" vbProcedure="false">Character!$E$19</definedName>
    <definedName function="false" hidden="false" name="cc.abilities.str.total" vbProcedure="false">Character!$C$19</definedName>
    <definedName function="false" hidden="false" name="cc.abilities.wis.modifier" vbProcedure="false">Character!$D$23</definedName>
    <definedName function="false" hidden="false" name="cc.abilities.wis.save.bonus" vbProcedure="false">Character!$F$23</definedName>
    <definedName function="false" hidden="false" name="cc.abilities.wis.save.proficient" vbProcedure="false">Character!$E$23</definedName>
    <definedName function="false" hidden="false" name="cc.abilities.wis.total" vbProcedure="false">Character!$C$23</definedName>
    <definedName function="false" hidden="false" name="cc.background.background_name" vbProcedure="false">Background!$B$4</definedName>
    <definedName function="false" hidden="false" name="cc.background.description" vbProcedure="false">Background!$B$7</definedName>
    <definedName function="false" hidden="false" name="cc.background.feature" vbProcedure="false">Background!$B$5</definedName>
    <definedName function="false" hidden="false" name="cc.background.story" vbProcedure="false">Background!$B$8</definedName>
    <definedName function="false" hidden="false" name="cc.background.traits" vbProcedure="false">Background!$B$6</definedName>
    <definedName function="false" hidden="false" name="cc.classes.level" vbProcedure="false">Character!$F$5:$F$7</definedName>
    <definedName function="false" hidden="false" name="cc.classes.name" vbProcedure="false">Character!$D$5:$D$7</definedName>
    <definedName function="false" hidden="false" name="cc.classes.subclass" vbProcedure="false">Character!$E$5:$E$7</definedName>
    <definedName function="false" hidden="false" name="cc.combat.armor.ac_base" vbProcedure="false">Inventory!$B$4</definedName>
    <definedName function="false" hidden="false" name="cc.combat.armor.attuned" vbProcedure="false">Inventory!$E$4</definedName>
    <definedName function="false" hidden="false" name="cc.combat.armor.equipped" vbProcedure="false">Inventory!$D$4</definedName>
    <definedName function="false" hidden="false" name="cc.combat.armor.name" vbProcedure="false">Inventory!$A$4</definedName>
    <definedName function="false" hidden="false" name="cc.combat.shield.ac_bonus" vbProcedure="false">Inventory!$B$7</definedName>
    <definedName function="false" hidden="false" name="cc.combat.shield.attuned" vbProcedure="false">Inventory!$E$7</definedName>
    <definedName function="false" hidden="false" name="cc.combat.shield.equipped" vbProcedure="false">Inventory!$D$7</definedName>
    <definedName function="false" hidden="false" name="cc.combat.weapons.attack_bonus" vbProcedure="false">Inventory!$D$11:$D$20</definedName>
    <definedName function="false" hidden="false" name="cc.combat.weapons.damage" vbProcedure="false">Inventory!$E$11:$E$20</definedName>
    <definedName function="false" hidden="false" name="cc.combat.weapons.damage_type" vbProcedure="false">Inventory!$F$11:$F$20</definedName>
    <definedName function="false" hidden="false" name="cc.combat.weapons.name" vbProcedure="false">Inventory!$A$11:$A$20</definedName>
    <definedName function="false" hidden="false" name="cc.combat.weapons.proficient" vbProcedure="false">Inventory!$B$11:$B$20</definedName>
    <definedName function="false" hidden="false" name="cc.combat.weapons.properties" vbProcedure="false">Inventory!$G$11:$G$20</definedName>
    <definedName function="false" hidden="false" name="cc.combat.weapons.special_properties" vbProcedure="false">Inventory!$H$11:$H$20</definedName>
    <definedName function="false" hidden="false" name="cc.core_stats.ac" vbProcedure="false">Character!$D$30</definedName>
    <definedName function="false" hidden="false" name="cc.core_stats.hit_dice.current" vbProcedure="false">Character!$E$39</definedName>
    <definedName function="false" hidden="false" name="cc.core_stats.hit_dice.die_size" vbProcedure="false">Character!$E$37</definedName>
    <definedName function="false" hidden="false" name="cc.core_stats.hit_dice.max" vbProcedure="false">Character!$E$38</definedName>
    <definedName function="false" hidden="false" name="cc.core_stats.hp.current" vbProcedure="false">Character!$B$38</definedName>
    <definedName function="false" hidden="false" name="cc.core_stats.hp.max" vbProcedure="false">Character!$B$37</definedName>
    <definedName function="false" hidden="false" name="cc.core_stats.hp.temp" vbProcedure="false">Character!$B$39</definedName>
    <definedName function="false" hidden="false" name="cc.core_stats.initiative" vbProcedure="false">Character!$D$29</definedName>
    <definedName function="false" hidden="false" name="cc.core_stats.passive_perception" vbProcedure="false">Character!$D$32</definedName>
    <definedName function="false" hidden="false" name="cc.core_stats.proficiency_bonus" vbProcedure="false">Character!$D$28</definedName>
    <definedName function="false" hidden="false" name="cc.core_stats.size" vbProcedure="false">Character!$D$33</definedName>
    <definedName function="false" hidden="false" name="cc.core_stats.speed" vbProcedure="false">Character!$D$31</definedName>
    <definedName function="false" hidden="false" name="cc.defenses.advantages" vbProcedure="false">Background!$B$13</definedName>
    <definedName function="false" hidden="false" name="cc.defenses.disadvantages" vbProcedure="false">Background!$B$14</definedName>
    <definedName function="false" hidden="false" name="cc.defenses.immunities" vbProcedure="false">Background!$B$12</definedName>
    <definedName function="false" hidden="false" name="cc.defenses.resistances" vbProcedure="false">Background!$B$11</definedName>
    <definedName function="false" hidden="false" name="cc.features.class_features.description" vbProcedure="false">Features!$C$6:$C$25</definedName>
    <definedName function="false" hidden="false" name="cc.features.class_features.level" vbProcedure="false">Features!$B$6:$B$25</definedName>
    <definedName function="false" hidden="false" name="cc.features.class_features.name" vbProcedure="false">Features!$A$6:$A$25</definedName>
    <definedName function="false" hidden="false" name="cc.features.feats.description" vbProcedure="false">Features!$C$44:$C$51</definedName>
    <definedName function="false" hidden="false" name="cc.features.feats.level" vbProcedure="false">Features!$B$44:$B$51</definedName>
    <definedName function="false" hidden="false" name="cc.features.feats.name" vbProcedure="false">Features!$A$44:$A$51</definedName>
    <definedName function="false" hidden="false" name="cc.features.fighting_style_feats.description" vbProcedure="false">Features!$C$56:$C$59</definedName>
    <definedName function="false" hidden="false" name="cc.features.fighting_style_feats.name" vbProcedure="false">Features!$A$56:$A$59</definedName>
    <definedName function="false" hidden="false" name="cc.features.race_features.description" vbProcedure="false">Features!$C$30:$C$39</definedName>
    <definedName function="false" hidden="false" name="cc.features.race_features.level" vbProcedure="false">Features!$B$30:$B$39</definedName>
    <definedName function="false" hidden="false" name="cc.features.race_features.name" vbProcedure="false">Features!$A$30:$A$39</definedName>
    <definedName function="false" hidden="false" name="cc.features.special_abilities.description" vbProcedure="false">Features!$C$64:$C$75</definedName>
    <definedName function="false" hidden="false" name="cc.features.special_abilities.level" vbProcedure="false">Features!$B$64:$B$75</definedName>
    <definedName function="false" hidden="false" name="cc.features.special_abilities.name" vbProcedure="false">Features!$A$64:$A$75</definedName>
    <definedName function="false" hidden="false" name="cc.identity.age" vbProcedure="false">Character!$B$11</definedName>
    <definedName function="false" hidden="false" name="cc.identity.alignment" vbProcedure="false">Character!$B$9</definedName>
    <definedName function="false" hidden="false" name="cc.identity.character_name" vbProcedure="false">Character!$B$4</definedName>
    <definedName function="false" hidden="false" name="cc.identity.display_name" vbProcedure="false">Character!$B$5</definedName>
    <definedName function="false" hidden="false" name="cc.identity.faith" vbProcedure="false">Character!$B$10</definedName>
    <definedName function="false" hidden="false" name="cc.identity.gender" vbProcedure="false">Character!$B$12</definedName>
    <definedName function="false" hidden="false" name="cc.identity.height" vbProcedure="false">Character!$B$13</definedName>
    <definedName function="false" hidden="false" name="cc.identity.hometown" vbProcedure="false">Character!$B$15</definedName>
    <definedName function="false" hidden="false" name="cc.identity.languages" vbProcedure="false">Background!$B$9</definedName>
    <definedName function="false" hidden="false" name="cc.identity.player" vbProcedure="false">Character!$B$6</definedName>
    <definedName function="false" hidden="false" name="cc.identity.race.name" vbProcedure="false">Character!$B$7</definedName>
    <definedName function="false" hidden="false" name="cc.identity.race.subrace" vbProcedure="false">Character!$B$8</definedName>
    <definedName function="false" hidden="false" name="cc.identity.tool_proficiencies" vbProcedure="false">Background!$B$10</definedName>
    <definedName function="false" hidden="false" name="cc.identity.weight" vbProcedure="false">Character!$B$14</definedName>
    <definedName function="false" hidden="false" name="cc.inventory.currency.wallet.cp" vbProcedure="false">Inventory!$A$25</definedName>
    <definedName function="false" hidden="false" name="cc.inventory.currency.wallet.ep" vbProcedure="false">Inventory!$C$25</definedName>
    <definedName function="false" hidden="false" name="cc.inventory.currency.wallet.gp" vbProcedure="false">Inventory!$D$25</definedName>
    <definedName function="false" hidden="false" name="cc.inventory.currency.wallet.pp" vbProcedure="false">Inventory!$E$25</definedName>
    <definedName function="false" hidden="false" name="cc.inventory.currency.wallet.sp" vbProcedure="false">Inventory!$B$25</definedName>
    <definedName function="false" hidden="false" name="cc.inventory.encumbrance.max_capacity" vbProcedure="false">Inventory!$H$29</definedName>
    <definedName function="false" hidden="false" name="cc.inventory.encumbrance.total_weight" vbProcedure="false">Inventory!$H$28</definedName>
    <definedName function="false" hidden="false" name="cc.inventory.items.description" vbProcedure="false">Inventory!$E$29:$E$68</definedName>
    <definedName function="false" hidden="false" name="cc.inventory.items.location" vbProcedure="false">Inventory!$D$29:$D$68</definedName>
    <definedName function="false" hidden="false" name="cc.inventory.items.name" vbProcedure="false">Inventory!$A$29:$A$68</definedName>
    <definedName function="false" hidden="false" name="cc.inventory.items.quantity" vbProcedure="false">Inventory!$B$29:$B$68</definedName>
    <definedName function="false" hidden="false" name="cc.inventory.items.weight" vbProcedure="false">Inventory!$C$29:$C$68</definedName>
    <definedName function="false" hidden="false" name="cc.inventory.wondrous_items.description" vbProcedure="false">Inventory!$B$73:$B$82</definedName>
    <definedName function="false" hidden="false" name="cc.inventory.wondrous_items.name" vbProcedure="false">Inventory!$A$73:$A$82</definedName>
    <definedName function="false" hidden="false" name="cc.meta.layout_version" vbProcedure="false">Character!$C$44</definedName>
    <definedName function="false" hidden="false" name="cc.meta.template" vbProcedure="false">Character!$B$44</definedName>
    <definedName function="false" hidden="false" name="cc.skills.ability" vbProcedure="false">Character!$I$5:$I$22</definedName>
    <definedName function="false" hidden="false" name="cc.skills.misc_bonus" vbProcedure="false">Character!$K$5:$K$22</definedName>
    <definedName function="false" hidden="false" name="cc.skills.name" vbProcedure="false">Character!$H$5:$H$22</definedName>
    <definedName function="false" hidden="false" name="cc.skills.proficiency" vbProcedure="false">Character!$J$5:$J$22</definedName>
    <definedName function="false" hidden="false" name="cc.skills.total" vbProcedure="false">Character!$L$5:$L$22</definedName>
    <definedName function="false" hidden="false" name="cc.spellcasting.always_known.level" vbProcedure="false">Spells!$B$36:$B$45</definedName>
    <definedName function="false" hidden="false" name="cc.spellcasting.always_known.name" vbProcedure="false">Spells!$A$36:$A$45</definedName>
    <definedName function="false" hidden="false" name="cc.spellcasting.attack_bonus" vbProcedure="false">Spells!$D$6</definedName>
    <definedName function="false" hidden="false" name="cc.spellcasting.cantrips_known.level" vbProcedure="false">Spells!$B$23:$B$32</definedName>
    <definedName function="false" hidden="false" name="cc.spellcasting.cantrips_known.name" vbProcedure="false">Spells!$A$23:$A$32</definedName>
    <definedName function="false" hidden="false" name="cc.spellcasting.prepared.level" vbProcedure="false">Spells!$B$49:$B$88</definedName>
    <definedName function="false" hidden="false" name="cc.spellcasting.prepared.name" vbProcedure="false">Spells!$A$49:$A$88</definedName>
    <definedName function="false" hidden="false" name="cc.spellcasting.save_dc" vbProcedure="false">Spells!$D$5</definedName>
    <definedName function="false" hidden="false" name="cc.spellcasting.special_resources.die" vbProcedure="false">Spells!$H$10:$H$17</definedName>
    <definedName function="false" hidden="false" name="cc.spellcasting.special_resources.max" vbProcedure="false">Spells!$F$10:$F$17</definedName>
    <definedName function="false" hidden="false" name="cc.spellcasting.special_resources.name" vbProcedure="false">Spells!$E$10:$E$17</definedName>
    <definedName function="false" hidden="false" name="cc.spellcasting.special_resources.reset" vbProcedure="false">Spells!$G$10:$G$17</definedName>
    <definedName function="false" hidden="false" name="cc.spellcasting.spellcasting_ability" vbProcedure="false">Spells!$D$4</definedName>
    <definedName function="false" hidden="false" name="cc.spellcasting.spell_slots.current" vbProcedure="false">Spells!$C$10:$C$18</definedName>
    <definedName function="false" hidden="false" name="cc.spellcasting.spell_slots.max" vbProcedure="false">Spells!$B$10:$B$18</definedName>
    <definedName function="false" hidden="false" name="cc.total_level" vbProcedure="false">Character!$F$8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Short name shown on the token / chat.</t>
        </r>
      </text>
    </comment>
    <comment ref="B7" authorId="0">
      <text>
        <r>
          <rPr>
            <sz val="10"/>
            <rFont val="Arial"/>
            <family val="2"/>
          </rPr>
          <t xml:space="preserve">SRD race (list) or free text.</t>
        </r>
      </text>
    </comment>
  </commentList>
</comments>
</file>

<file path=xl/sharedStrings.xml><?xml version="1.0" encoding="utf-8"?>
<sst xmlns="http://schemas.openxmlformats.org/spreadsheetml/2006/main" count="4158" uniqueCount="1223">
  <si>
    <t xml:space="preserve">Character Sheet — SRD 5.1</t>
  </si>
  <si>
    <t xml:space="preserve">Yellow cells: fill in (blue text). Grey cells: calculated — type in the Override column to replace a value. See the About sheet.</t>
  </si>
  <si>
    <t xml:space="preserve">IDENTITY</t>
  </si>
  <si>
    <t xml:space="preserve">CLASSES</t>
  </si>
  <si>
    <t xml:space="preserve">SKILLS</t>
  </si>
  <si>
    <t xml:space="preserve">Character name</t>
  </si>
  <si>
    <t xml:space="preserve">Class</t>
  </si>
  <si>
    <t xml:space="preserve">Subclass</t>
  </si>
  <si>
    <t xml:space="preserve">Level</t>
  </si>
  <si>
    <t xml:space="preserve">Skill</t>
  </si>
  <si>
    <t xml:space="preserve">Ability</t>
  </si>
  <si>
    <t xml:space="preserve">Proficiency</t>
  </si>
  <si>
    <t xml:space="preserve">Misc</t>
  </si>
  <si>
    <t xml:space="preserve">Total</t>
  </si>
  <si>
    <t xml:space="preserve">Display name</t>
  </si>
  <si>
    <t xml:space="preserve">Acrobatics</t>
  </si>
  <si>
    <t xml:space="preserve">DEX</t>
  </si>
  <si>
    <t xml:space="preserve">none</t>
  </si>
  <si>
    <t xml:space="preserve">Player</t>
  </si>
  <si>
    <t xml:space="preserve">Animal Handling</t>
  </si>
  <si>
    <t xml:space="preserve">WIS</t>
  </si>
  <si>
    <t xml:space="preserve">Race</t>
  </si>
  <si>
    <t xml:space="preserve">Arcana</t>
  </si>
  <si>
    <t xml:space="preserve">INT</t>
  </si>
  <si>
    <t xml:space="preserve">Subrace</t>
  </si>
  <si>
    <t xml:space="preserve">Total level</t>
  </si>
  <si>
    <t xml:space="preserve">Athletics</t>
  </si>
  <si>
    <t xml:space="preserve">STR</t>
  </si>
  <si>
    <t xml:space="preserve">Alignment</t>
  </si>
  <si>
    <t xml:space="preserve">Multiclass: one row per class; the first row is the main class (hit dice, spellcasting).</t>
  </si>
  <si>
    <t xml:space="preserve">Deception</t>
  </si>
  <si>
    <t xml:space="preserve">CHA</t>
  </si>
  <si>
    <t xml:space="preserve">Faith</t>
  </si>
  <si>
    <t xml:space="preserve">History</t>
  </si>
  <si>
    <t xml:space="preserve">Age</t>
  </si>
  <si>
    <t xml:space="preserve">Insight</t>
  </si>
  <si>
    <t xml:space="preserve">Gender</t>
  </si>
  <si>
    <t xml:space="preserve">Intimidation</t>
  </si>
  <si>
    <t xml:space="preserve">Height</t>
  </si>
  <si>
    <t xml:space="preserve">Investigation</t>
  </si>
  <si>
    <t xml:space="preserve">Weight</t>
  </si>
  <si>
    <t xml:space="preserve">Medicine</t>
  </si>
  <si>
    <t xml:space="preserve">Hometown</t>
  </si>
  <si>
    <t xml:space="preserve">Nature</t>
  </si>
  <si>
    <t xml:space="preserve">Perception</t>
  </si>
  <si>
    <t xml:space="preserve">ABILITIES</t>
  </si>
  <si>
    <t xml:space="preserve">Performance</t>
  </si>
  <si>
    <t xml:space="preserve">Code</t>
  </si>
  <si>
    <t xml:space="preserve">Score</t>
  </si>
  <si>
    <t xml:space="preserve">Modifier</t>
  </si>
  <si>
    <t xml:space="preserve">Save prof.</t>
  </si>
  <si>
    <t xml:space="preserve">Save bonus</t>
  </si>
  <si>
    <t xml:space="preserve">Persuasion</t>
  </si>
  <si>
    <t xml:space="preserve">Strength</t>
  </si>
  <si>
    <t xml:space="preserve">Religion</t>
  </si>
  <si>
    <t xml:space="preserve">Dexterity</t>
  </si>
  <si>
    <t xml:space="preserve">Sleight of Hand</t>
  </si>
  <si>
    <t xml:space="preserve">Constitution</t>
  </si>
  <si>
    <t xml:space="preserve">CON</t>
  </si>
  <si>
    <t xml:space="preserve">Stealth</t>
  </si>
  <si>
    <t xml:space="preserve">Intelligence</t>
  </si>
  <si>
    <t xml:space="preserve">Survival</t>
  </si>
  <si>
    <t xml:space="preserve">Wisdom</t>
  </si>
  <si>
    <t xml:space="preserve">Charisma</t>
  </si>
  <si>
    <t xml:space="preserve">CORE STATS</t>
  </si>
  <si>
    <t xml:space="preserve">Stat</t>
  </si>
  <si>
    <t xml:space="preserve">Calculated</t>
  </si>
  <si>
    <t xml:space="preserve">Override</t>
  </si>
  <si>
    <t xml:space="preserve">Value</t>
  </si>
  <si>
    <t xml:space="preserve">Proficiency bonus</t>
  </si>
  <si>
    <t xml:space="preserve">Initiative</t>
  </si>
  <si>
    <t xml:space="preserve">Armor Class</t>
  </si>
  <si>
    <t xml:space="preserve">Speed (ft)</t>
  </si>
  <si>
    <t xml:space="preserve">Passive Perception</t>
  </si>
  <si>
    <t xml:space="preserve">Size</t>
  </si>
  <si>
    <t xml:space="preserve">Armor Class uses the armor and shield on the Inventory sheet; type an Override for Unarmored Defense, Mage Armor, magic items…</t>
  </si>
  <si>
    <t xml:space="preserve">HIT POINTS</t>
  </si>
  <si>
    <t xml:space="preserve">HIT DICE</t>
  </si>
  <si>
    <t xml:space="preserve">HP max</t>
  </si>
  <si>
    <t xml:space="preserve">Die size</t>
  </si>
  <si>
    <t xml:space="preserve">HP current</t>
  </si>
  <si>
    <t xml:space="preserve">Max</t>
  </si>
  <si>
    <t xml:space="preserve">Temporary HP</t>
  </si>
  <si>
    <t xml:space="preserve">Current</t>
  </si>
  <si>
    <t xml:space="preserve">Multiclass: the suite manages hit dice per die size (special resource).</t>
  </si>
  <si>
    <t xml:space="preserve">Template</t>
  </si>
  <si>
    <t xml:space="preserve">KnU-SRD-5.1</t>
  </si>
  <si>
    <t xml:space="preserve">srd-1.0</t>
  </si>
  <si>
    <t xml:space="preserve">Spellcasting</t>
  </si>
  <si>
    <t xml:space="preserve">Spellcasting ability</t>
  </si>
  <si>
    <t xml:space="preserve">Spell save DC</t>
  </si>
  <si>
    <t xml:space="preserve">Spell attack bonus</t>
  </si>
  <si>
    <t xml:space="preserve">SPELL SLOTS</t>
  </si>
  <si>
    <t xml:space="preserve">SPECIAL RESOURCES</t>
  </si>
  <si>
    <t xml:space="preserve">Name</t>
  </si>
  <si>
    <t xml:space="preserve">Reset</t>
  </si>
  <si>
    <t xml:space="preserve">Die</t>
  </si>
  <si>
    <t xml:space="preserve">Rage, Ki points, Channel Divinity, Wild Shape… (become Resource Tracker resources).</t>
  </si>
  <si>
    <t xml:space="preserve">CANTRIPS</t>
  </si>
  <si>
    <t xml:space="preserve">Spells: pick from the SRD list or type a name (homebrew spells keep an empty level — type it in the Level cell).</t>
  </si>
  <si>
    <t xml:space="preserve">Spell</t>
  </si>
  <si>
    <t xml:space="preserve">School</t>
  </si>
  <si>
    <t xml:space="preserve">Conc.</t>
  </si>
  <si>
    <t xml:space="preserve">Range</t>
  </si>
  <si>
    <t xml:space="preserve">Ritual</t>
  </si>
  <si>
    <t xml:space="preserve">ALWAYS PREPARED</t>
  </si>
  <si>
    <t xml:space="preserve">PREPARED / KNOWN SPELLS</t>
  </si>
  <si>
    <t xml:space="preserve">Features &amp; Traits</t>
  </si>
  <si>
    <t xml:space="preserve">Write the features in your own words (descriptions are free text).</t>
  </si>
  <si>
    <t xml:space="preserve">CLASS FEATURES</t>
  </si>
  <si>
    <t xml:space="preserve">Description</t>
  </si>
  <si>
    <t xml:space="preserve">RACE FEATURES</t>
  </si>
  <si>
    <t xml:space="preserve">FEATS</t>
  </si>
  <si>
    <t xml:space="preserve">FIGHTING STYLES</t>
  </si>
  <si>
    <t xml:space="preserve">SPECIAL ABILITIES</t>
  </si>
  <si>
    <t xml:space="preserve">Equipment &amp; Inventory</t>
  </si>
  <si>
    <t xml:space="preserve">Armor</t>
  </si>
  <si>
    <t xml:space="preserve">AC base</t>
  </si>
  <si>
    <t xml:space="preserve">Dex cap</t>
  </si>
  <si>
    <t xml:space="preserve">Equipped</t>
  </si>
  <si>
    <t xml:space="preserve">Attuned</t>
  </si>
  <si>
    <t xml:space="preserve">Yes</t>
  </si>
  <si>
    <t xml:space="preserve">No</t>
  </si>
  <si>
    <t xml:space="preserve">Not in the list? Type the name and override the AC on the Character sheet.</t>
  </si>
  <si>
    <t xml:space="preserve">Shield</t>
  </si>
  <si>
    <t xml:space="preserve">AC bonus</t>
  </si>
  <si>
    <t xml:space="preserve">WEAPONS</t>
  </si>
  <si>
    <t xml:space="preserve">Weapon</t>
  </si>
  <si>
    <t xml:space="preserve">Proficient</t>
  </si>
  <si>
    <t xml:space="preserve">Magic +</t>
  </si>
  <si>
    <t xml:space="preserve">Attack</t>
  </si>
  <si>
    <t xml:space="preserve">Damage</t>
  </si>
  <si>
    <t xml:space="preserve">Damage type</t>
  </si>
  <si>
    <t xml:space="preserve">Properties</t>
  </si>
  <si>
    <t xml:space="preserve">Special properties</t>
  </si>
  <si>
    <t xml:space="preserve">Custom / magic weapons: type the name, then type Attack, Damage, Damage type over the grey cells.</t>
  </si>
  <si>
    <t xml:space="preserve">CURRENCY</t>
  </si>
  <si>
    <t xml:space="preserve">cp</t>
  </si>
  <si>
    <t xml:space="preserve">sp</t>
  </si>
  <si>
    <t xml:space="preserve">ep</t>
  </si>
  <si>
    <t xml:space="preserve">gp</t>
  </si>
  <si>
    <t xml:space="preserve">pp</t>
  </si>
  <si>
    <t xml:space="preserve">ITEMS</t>
  </si>
  <si>
    <t xml:space="preserve">Item</t>
  </si>
  <si>
    <t xml:space="preserve">Qty</t>
  </si>
  <si>
    <t xml:space="preserve">Weight (each)</t>
  </si>
  <si>
    <t xml:space="preserve">Location</t>
  </si>
  <si>
    <t xml:space="preserve">Total weight (lb)</t>
  </si>
  <si>
    <t xml:space="preserve">Carrying capacity (lb)</t>
  </si>
  <si>
    <t xml:space="preserve">MAGIC ITEMS</t>
  </si>
  <si>
    <t xml:space="preserve">Background, Proficiencies &amp; Defenses</t>
  </si>
  <si>
    <t xml:space="preserve">Lists (languages, tools, defenses): separate entries with commas or semicolons.</t>
  </si>
  <si>
    <t xml:space="preserve">Background</t>
  </si>
  <si>
    <t xml:space="preserve">Background feature</t>
  </si>
  <si>
    <t xml:space="preserve">Personality traits</t>
  </si>
  <si>
    <t xml:space="preserve">Appearance / description</t>
  </si>
  <si>
    <t xml:space="preserve">Story</t>
  </si>
  <si>
    <t xml:space="preserve">Languages</t>
  </si>
  <si>
    <t xml:space="preserve">Tool proficiencies</t>
  </si>
  <si>
    <t xml:space="preserve">Resistances</t>
  </si>
  <si>
    <t xml:space="preserve">Immunities</t>
  </si>
  <si>
    <t xml:space="preserve">Advantages</t>
  </si>
  <si>
    <t xml:space="preserve">Disadvantages</t>
  </si>
  <si>
    <t xml:space="preserve">Character Sheet — SRD 5.1 (KnU Full Suite)</t>
  </si>
  <si>
    <t xml:space="preserve">HOW TO FILL</t>
  </si>
  <si>
    <t xml:space="preserve">• Yellow cells (blue text) are yours to fill. Grey cells are calculated.</t>
  </si>
  <si>
    <t xml:space="preserve">• Lists: SRD races, classes, subclasses, armor, weapons and spells come from the SRD 5.1. You can also type your own names.</t>
  </si>
  <si>
    <t xml:space="preserve">• Character → Core stats: type a value in the Override column to replace a calculated one (e.g. Unarmored Defense AC).</t>
  </si>
  <si>
    <t xml:space="preserve">• One row per entry in every table (classes, skills, spells, weapons, items, features). Empty rows are ignored.</t>
  </si>
  <si>
    <t xml:space="preserve">IMPORT IN THE SUITE</t>
  </si>
  <si>
    <t xml:space="preserve">• Save the file as .xlsx (Excel, LibreOffice or Google Sheets → Download as .xlsx), then drop it on the Character Cards panel.</t>
  </si>
  <si>
    <t xml:space="preserve">• The suite reads the cells through the named ranges listed on the Keys sheet ("cc.…"). Moving cells is fine as long as the names follow them; do not rename or delete them.</t>
  </si>
  <si>
    <t xml:space="preserve">• Spell, feature and item details in the suite come from your enabled 5etools libraries.</t>
  </si>
  <si>
    <t xml:space="preserve">LICENSE / ATTRIBUTION</t>
  </si>
  <si>
    <t xml:space="preserve">This work includes material taken from the System Reference Document 5.1 ("SRD 5.1") by Wizards of the Coast LLC and available at https://dnd.wizards.com/resources/systems-reference-document. The SRD 5.1 is licensed under the Creative Commons Attribution 4.0 International License available at https://creativecommons.org/licenses/by/4.0/legalcode.</t>
  </si>
  <si>
    <t xml:space="preserve">SRD data prepared from the 5e-bits/5e-database dataset (https://github.com/5e-bits/5e-database, MIT).</t>
  </si>
  <si>
    <t xml:space="preserve">Template: KnU-SRD-5.1 · layout srd-1.0</t>
  </si>
  <si>
    <t xml:space="preserve">Conversion keys (named ranges read by the suite)</t>
  </si>
  <si>
    <t xml:space="preserve">Key (defined name)</t>
  </si>
  <si>
    <t xml:space="preserve">Cells</t>
  </si>
  <si>
    <t xml:space="preserve">JSON field</t>
  </si>
  <si>
    <t xml:space="preserve">Type</t>
  </si>
  <si>
    <t xml:space="preserve">Notes</t>
  </si>
  <si>
    <t xml:space="preserve">cc.identity.character_name</t>
  </si>
  <si>
    <t xml:space="preserve">Character!B4</t>
  </si>
  <si>
    <t xml:space="preserve">identity.character_name</t>
  </si>
  <si>
    <t xml:space="preserve">text</t>
  </si>
  <si>
    <t xml:space="preserve">cc.identity.display_name</t>
  </si>
  <si>
    <t xml:space="preserve">Character!B5</t>
  </si>
  <si>
    <t xml:space="preserve">identity.display_name</t>
  </si>
  <si>
    <t xml:space="preserve">cc.identity.player</t>
  </si>
  <si>
    <t xml:space="preserve">Character!B6</t>
  </si>
  <si>
    <t xml:space="preserve">identity.player</t>
  </si>
  <si>
    <t xml:space="preserve">cc.identity.race.name</t>
  </si>
  <si>
    <t xml:space="preserve">Character!B7</t>
  </si>
  <si>
    <t xml:space="preserve">identity.race.name</t>
  </si>
  <si>
    <t xml:space="preserve">cc.identity.race.subrace</t>
  </si>
  <si>
    <t xml:space="preserve">Character!B8</t>
  </si>
  <si>
    <t xml:space="preserve">identity.race.subrace</t>
  </si>
  <si>
    <t xml:space="preserve">cc.identity.alignment</t>
  </si>
  <si>
    <t xml:space="preserve">Character!B9</t>
  </si>
  <si>
    <t xml:space="preserve">identity.alignment</t>
  </si>
  <si>
    <t xml:space="preserve">cc.identity.faith</t>
  </si>
  <si>
    <t xml:space="preserve">Character!B10</t>
  </si>
  <si>
    <t xml:space="preserve">identity.faith</t>
  </si>
  <si>
    <t xml:space="preserve">cc.identity.age</t>
  </si>
  <si>
    <t xml:space="preserve">Character!B11</t>
  </si>
  <si>
    <t xml:space="preserve">identity.age</t>
  </si>
  <si>
    <t xml:space="preserve">number</t>
  </si>
  <si>
    <t xml:space="preserve">cc.identity.gender</t>
  </si>
  <si>
    <t xml:space="preserve">Character!B12</t>
  </si>
  <si>
    <t xml:space="preserve">identity.gender</t>
  </si>
  <si>
    <t xml:space="preserve">cc.identity.height</t>
  </si>
  <si>
    <t xml:space="preserve">Character!B13</t>
  </si>
  <si>
    <t xml:space="preserve">identity.height</t>
  </si>
  <si>
    <t xml:space="preserve">cc.identity.weight</t>
  </si>
  <si>
    <t xml:space="preserve">Character!B14</t>
  </si>
  <si>
    <t xml:space="preserve">identity.weight</t>
  </si>
  <si>
    <t xml:space="preserve">cc.identity.hometown</t>
  </si>
  <si>
    <t xml:space="preserve">Character!B15</t>
  </si>
  <si>
    <t xml:space="preserve">identity.hometown</t>
  </si>
  <si>
    <t xml:space="preserve">cc.classes.name</t>
  </si>
  <si>
    <t xml:space="preserve">Character!D5:D7</t>
  </si>
  <si>
    <t xml:space="preserve">classes[].name</t>
  </si>
  <si>
    <t xml:space="preserve">list</t>
  </si>
  <si>
    <t xml:space="preserve">First row = main class.</t>
  </si>
  <si>
    <t xml:space="preserve">cc.classes.subclass</t>
  </si>
  <si>
    <t xml:space="preserve">Character!E5:E7</t>
  </si>
  <si>
    <t xml:space="preserve">classes[].subclass</t>
  </si>
  <si>
    <t xml:space="preserve">cc.classes.level</t>
  </si>
  <si>
    <t xml:space="preserve">Character!F5:F7</t>
  </si>
  <si>
    <t xml:space="preserve">classes[].level</t>
  </si>
  <si>
    <t xml:space="preserve">list (number)</t>
  </si>
  <si>
    <t xml:space="preserve">cc.total_level</t>
  </si>
  <si>
    <t xml:space="preserve">Character!F8</t>
  </si>
  <si>
    <t xml:space="preserve">total_level</t>
  </si>
  <si>
    <t xml:space="preserve">cc.abilities.str.total</t>
  </si>
  <si>
    <t xml:space="preserve">Character!C19</t>
  </si>
  <si>
    <t xml:space="preserve">abilities.str.total</t>
  </si>
  <si>
    <t xml:space="preserve">cc.abilities.str.modifier</t>
  </si>
  <si>
    <t xml:space="preserve">Character!D19</t>
  </si>
  <si>
    <t xml:space="preserve">abilities.str.modifier</t>
  </si>
  <si>
    <t xml:space="preserve">cc.abilities.str.save.proficient</t>
  </si>
  <si>
    <t xml:space="preserve">Character!E19</t>
  </si>
  <si>
    <t xml:space="preserve">abilities.str.save.proficient</t>
  </si>
  <si>
    <t xml:space="preserve">Yes/No</t>
  </si>
  <si>
    <t xml:space="preserve">cc.abilities.str.save.bonus</t>
  </si>
  <si>
    <t xml:space="preserve">Character!F19</t>
  </si>
  <si>
    <t xml:space="preserve">abilities.str.save.bonus</t>
  </si>
  <si>
    <t xml:space="preserve">cc.abilities.dex.total</t>
  </si>
  <si>
    <t xml:space="preserve">Character!C20</t>
  </si>
  <si>
    <t xml:space="preserve">abilities.dex.total</t>
  </si>
  <si>
    <t xml:space="preserve">cc.abilities.dex.modifier</t>
  </si>
  <si>
    <t xml:space="preserve">Character!D20</t>
  </si>
  <si>
    <t xml:space="preserve">abilities.dex.modifier</t>
  </si>
  <si>
    <t xml:space="preserve">cc.abilities.dex.save.proficient</t>
  </si>
  <si>
    <t xml:space="preserve">Character!E20</t>
  </si>
  <si>
    <t xml:space="preserve">abilities.dex.save.proficient</t>
  </si>
  <si>
    <t xml:space="preserve">cc.abilities.dex.save.bonus</t>
  </si>
  <si>
    <t xml:space="preserve">Character!F20</t>
  </si>
  <si>
    <t xml:space="preserve">abilities.dex.save.bonus</t>
  </si>
  <si>
    <t xml:space="preserve">cc.abilities.con.total</t>
  </si>
  <si>
    <t xml:space="preserve">Character!C21</t>
  </si>
  <si>
    <t xml:space="preserve">abilities.con.total</t>
  </si>
  <si>
    <t xml:space="preserve">cc.abilities.con.modifier</t>
  </si>
  <si>
    <t xml:space="preserve">Character!D21</t>
  </si>
  <si>
    <t xml:space="preserve">abilities.con.modifier</t>
  </si>
  <si>
    <t xml:space="preserve">cc.abilities.con.save.proficient</t>
  </si>
  <si>
    <t xml:space="preserve">Character!E21</t>
  </si>
  <si>
    <t xml:space="preserve">abilities.con.save.proficient</t>
  </si>
  <si>
    <t xml:space="preserve">cc.abilities.con.save.bonus</t>
  </si>
  <si>
    <t xml:space="preserve">Character!F21</t>
  </si>
  <si>
    <t xml:space="preserve">abilities.con.save.bonus</t>
  </si>
  <si>
    <t xml:space="preserve">cc.abilities.int.total</t>
  </si>
  <si>
    <t xml:space="preserve">Character!C22</t>
  </si>
  <si>
    <t xml:space="preserve">abilities.int.total</t>
  </si>
  <si>
    <t xml:space="preserve">cc.abilities.int.modifier</t>
  </si>
  <si>
    <t xml:space="preserve">Character!D22</t>
  </si>
  <si>
    <t xml:space="preserve">abilities.int.modifier</t>
  </si>
  <si>
    <t xml:space="preserve">cc.abilities.int.save.proficient</t>
  </si>
  <si>
    <t xml:space="preserve">Character!E22</t>
  </si>
  <si>
    <t xml:space="preserve">abilities.int.save.proficient</t>
  </si>
  <si>
    <t xml:space="preserve">cc.abilities.int.save.bonus</t>
  </si>
  <si>
    <t xml:space="preserve">Character!F22</t>
  </si>
  <si>
    <t xml:space="preserve">abilities.int.save.bonus</t>
  </si>
  <si>
    <t xml:space="preserve">cc.abilities.wis.total</t>
  </si>
  <si>
    <t xml:space="preserve">Character!C23</t>
  </si>
  <si>
    <t xml:space="preserve">abilities.wis.total</t>
  </si>
  <si>
    <t xml:space="preserve">cc.abilities.wis.modifier</t>
  </si>
  <si>
    <t xml:space="preserve">Character!D23</t>
  </si>
  <si>
    <t xml:space="preserve">abilities.wis.modifier</t>
  </si>
  <si>
    <t xml:space="preserve">cc.abilities.wis.save.proficient</t>
  </si>
  <si>
    <t xml:space="preserve">Character!E23</t>
  </si>
  <si>
    <t xml:space="preserve">abilities.wis.save.proficient</t>
  </si>
  <si>
    <t xml:space="preserve">cc.abilities.wis.save.bonus</t>
  </si>
  <si>
    <t xml:space="preserve">Character!F23</t>
  </si>
  <si>
    <t xml:space="preserve">abilities.wis.save.bonus</t>
  </si>
  <si>
    <t xml:space="preserve">cc.abilities.cha.total</t>
  </si>
  <si>
    <t xml:space="preserve">Character!C24</t>
  </si>
  <si>
    <t xml:space="preserve">abilities.cha.total</t>
  </si>
  <si>
    <t xml:space="preserve">cc.abilities.cha.modifier</t>
  </si>
  <si>
    <t xml:space="preserve">Character!D24</t>
  </si>
  <si>
    <t xml:space="preserve">abilities.cha.modifier</t>
  </si>
  <si>
    <t xml:space="preserve">cc.abilities.cha.save.proficient</t>
  </si>
  <si>
    <t xml:space="preserve">Character!E24</t>
  </si>
  <si>
    <t xml:space="preserve">abilities.cha.save.proficient</t>
  </si>
  <si>
    <t xml:space="preserve">cc.abilities.cha.save.bonus</t>
  </si>
  <si>
    <t xml:space="preserve">Character!F24</t>
  </si>
  <si>
    <t xml:space="preserve">abilities.cha.save.bonus</t>
  </si>
  <si>
    <t xml:space="preserve">cc.core_stats.proficiency_bonus</t>
  </si>
  <si>
    <t xml:space="preserve">Character!D28</t>
  </si>
  <si>
    <t xml:space="preserve">core_stats.proficiency_bonus</t>
  </si>
  <si>
    <t xml:space="preserve">cc.core_stats.initiative</t>
  </si>
  <si>
    <t xml:space="preserve">Character!D29</t>
  </si>
  <si>
    <t xml:space="preserve">core_stats.initiative</t>
  </si>
  <si>
    <t xml:space="preserve">cc.core_stats.ac</t>
  </si>
  <si>
    <t xml:space="preserve">Character!D30</t>
  </si>
  <si>
    <t xml:space="preserve">core_stats.ac</t>
  </si>
  <si>
    <t xml:space="preserve">cc.core_stats.speed</t>
  </si>
  <si>
    <t xml:space="preserve">Character!D31</t>
  </si>
  <si>
    <t xml:space="preserve">core_stats.speed</t>
  </si>
  <si>
    <t xml:space="preserve">cc.core_stats.passive_perception</t>
  </si>
  <si>
    <t xml:space="preserve">Character!D32</t>
  </si>
  <si>
    <t xml:space="preserve">core_stats.passive_perception</t>
  </si>
  <si>
    <t xml:space="preserve">cc.core_stats.size</t>
  </si>
  <si>
    <t xml:space="preserve">Character!D33</t>
  </si>
  <si>
    <t xml:space="preserve">core_stats.size</t>
  </si>
  <si>
    <t xml:space="preserve">cc.core_stats.hp.max</t>
  </si>
  <si>
    <t xml:space="preserve">Character!B37</t>
  </si>
  <si>
    <t xml:space="preserve">core_stats.hp.max</t>
  </si>
  <si>
    <t xml:space="preserve">cc.core_stats.hp.current</t>
  </si>
  <si>
    <t xml:space="preserve">Character!B38</t>
  </si>
  <si>
    <t xml:space="preserve">core_stats.hp.current</t>
  </si>
  <si>
    <t xml:space="preserve">cc.core_stats.hp.temp</t>
  </si>
  <si>
    <t xml:space="preserve">Character!B39</t>
  </si>
  <si>
    <t xml:space="preserve">core_stats.hp.temp</t>
  </si>
  <si>
    <t xml:space="preserve">cc.core_stats.hit_dice.die_size</t>
  </si>
  <si>
    <t xml:space="preserve">Character!E37</t>
  </si>
  <si>
    <t xml:space="preserve">core_stats.hit_dice.die_size</t>
  </si>
  <si>
    <t xml:space="preserve">cc.core_stats.hit_dice.max</t>
  </si>
  <si>
    <t xml:space="preserve">Character!E38</t>
  </si>
  <si>
    <t xml:space="preserve">core_stats.hit_dice.max</t>
  </si>
  <si>
    <t xml:space="preserve">cc.core_stats.hit_dice.current</t>
  </si>
  <si>
    <t xml:space="preserve">Character!E39</t>
  </si>
  <si>
    <t xml:space="preserve">core_stats.hit_dice.current</t>
  </si>
  <si>
    <t xml:space="preserve">Empty = all available.</t>
  </si>
  <si>
    <t xml:space="preserve">cc.skills.name</t>
  </si>
  <si>
    <t xml:space="preserve">Character!H5:H22</t>
  </si>
  <si>
    <t xml:space="preserve">skills[].name</t>
  </si>
  <si>
    <t xml:space="preserve">cc.skills.ability</t>
  </si>
  <si>
    <t xml:space="preserve">Character!I5:I22</t>
  </si>
  <si>
    <t xml:space="preserve">skills[].ability</t>
  </si>
  <si>
    <t xml:space="preserve">list (STR…CHA → str…cha)</t>
  </si>
  <si>
    <t xml:space="preserve">cc.skills.proficiency</t>
  </si>
  <si>
    <t xml:space="preserve">Character!J5:J22</t>
  </si>
  <si>
    <t xml:space="preserve">skills[].proficiency</t>
  </si>
  <si>
    <t xml:space="preserve">list: none / proficient / expertise</t>
  </si>
  <si>
    <t xml:space="preserve">cc.skills.misc_bonus</t>
  </si>
  <si>
    <t xml:space="preserve">Character!K5:K22</t>
  </si>
  <si>
    <t xml:space="preserve">skills[].misc_bonus</t>
  </si>
  <si>
    <t xml:space="preserve">cc.skills.total</t>
  </si>
  <si>
    <t xml:space="preserve">Character!L5:L22</t>
  </si>
  <si>
    <t xml:space="preserve">skills[].total</t>
  </si>
  <si>
    <t xml:space="preserve">cc.meta.template</t>
  </si>
  <si>
    <t xml:space="preserve">Character!B44</t>
  </si>
  <si>
    <t xml:space="preserve">meta.template_name</t>
  </si>
  <si>
    <t xml:space="preserve">Do not edit.</t>
  </si>
  <si>
    <t xml:space="preserve">cc.meta.layout_version</t>
  </si>
  <si>
    <t xml:space="preserve">Character!C44</t>
  </si>
  <si>
    <t xml:space="preserve">meta.layout_version</t>
  </si>
  <si>
    <t xml:space="preserve">cc.spellcasting.spellcasting_ability</t>
  </si>
  <si>
    <t xml:space="preserve">Spells!D4</t>
  </si>
  <si>
    <t xml:space="preserve">spellcasting.spellcasting_ability (+ core_stats.dc_ability)</t>
  </si>
  <si>
    <t xml:space="preserve">STR…CHA → str…cha</t>
  </si>
  <si>
    <t xml:space="preserve">cc.spellcasting.save_dc</t>
  </si>
  <si>
    <t xml:space="preserve">Spells!D5</t>
  </si>
  <si>
    <t xml:space="preserve">spellcasting.save_dc (+ core_stats.dc)</t>
  </si>
  <si>
    <t xml:space="preserve">cc.spellcasting.attack_bonus</t>
  </si>
  <si>
    <t xml:space="preserve">Spells!D6</t>
  </si>
  <si>
    <t xml:space="preserve">spellcasting.attack_bonus</t>
  </si>
  <si>
    <t xml:space="preserve">number → "+N"</t>
  </si>
  <si>
    <t xml:space="preserve">cc.spellcasting.spell_slots.max</t>
  </si>
  <si>
    <t xml:space="preserve">Spells!B10:B18</t>
  </si>
  <si>
    <t xml:space="preserve">spellcasting.spell_slots.{level}.max</t>
  </si>
  <si>
    <t xml:space="preserve">list (number), row = slot level 1–9</t>
  </si>
  <si>
    <t xml:space="preserve">cc.spellcasting.spell_slots.current</t>
  </si>
  <si>
    <t xml:space="preserve">Spells!C10:C18</t>
  </si>
  <si>
    <t xml:space="preserve">spellcasting.spell_slots.{level}.current</t>
  </si>
  <si>
    <t xml:space="preserve">list (number); empty = max</t>
  </si>
  <si>
    <t xml:space="preserve">cc.spellcasting.special_resources.name</t>
  </si>
  <si>
    <t xml:space="preserve">Spells!E10:E17</t>
  </si>
  <si>
    <t xml:space="preserve">spellcasting.special_resources[].name</t>
  </si>
  <si>
    <t xml:space="preserve">cc.spellcasting.special_resources.max</t>
  </si>
  <si>
    <t xml:space="preserve">Spells!F10:F17</t>
  </si>
  <si>
    <t xml:space="preserve">spellcasting.special_resources[].max</t>
  </si>
  <si>
    <t xml:space="preserve">cc.spellcasting.special_resources.reset</t>
  </si>
  <si>
    <t xml:space="preserve">Spells!G10:G17</t>
  </si>
  <si>
    <t xml:space="preserve">spellcasting.special_resources[].reset</t>
  </si>
  <si>
    <t xml:space="preserve">list: SR / LR</t>
  </si>
  <si>
    <t xml:space="preserve">cc.spellcasting.special_resources.die</t>
  </si>
  <si>
    <t xml:space="preserve">Spells!H10:H17</t>
  </si>
  <si>
    <t xml:space="preserve">spellcasting.special_resources[].die</t>
  </si>
  <si>
    <t xml:space="preserve">list (optional)</t>
  </si>
  <si>
    <t xml:space="preserve">cc.spellcasting.cantrips_known.name</t>
  </si>
  <si>
    <t xml:space="preserve">Spells!A23:A32</t>
  </si>
  <si>
    <t xml:space="preserve">spellcasting.cantrips_known[].name</t>
  </si>
  <si>
    <t xml:space="preserve">cc.spellcasting.cantrips_known.level</t>
  </si>
  <si>
    <t xml:space="preserve">Spells!B23:B32</t>
  </si>
  <si>
    <t xml:space="preserve">spellcasting.cantrips_known[].level</t>
  </si>
  <si>
    <t xml:space="preserve">cc.spellcasting.always_known.name</t>
  </si>
  <si>
    <t xml:space="preserve">Spells!A36:A45</t>
  </si>
  <si>
    <t xml:space="preserve">spellcasting.always_known[].name</t>
  </si>
  <si>
    <t xml:space="preserve">cc.spellcasting.always_known.level</t>
  </si>
  <si>
    <t xml:space="preserve">Spells!B36:B45</t>
  </si>
  <si>
    <t xml:space="preserve">spellcasting.always_known[].level</t>
  </si>
  <si>
    <t xml:space="preserve">cc.spellcasting.prepared.name</t>
  </si>
  <si>
    <t xml:space="preserve">Spells!A49:A88</t>
  </si>
  <si>
    <t xml:space="preserve">spellcasting.prepared[].name</t>
  </si>
  <si>
    <t xml:space="preserve">cc.spellcasting.prepared.level</t>
  </si>
  <si>
    <t xml:space="preserve">Spells!B49:B88</t>
  </si>
  <si>
    <t xml:space="preserve">spellcasting.prepared[].level</t>
  </si>
  <si>
    <t xml:space="preserve">cc.features.class_features.name</t>
  </si>
  <si>
    <t xml:space="preserve">Features!A6:A25</t>
  </si>
  <si>
    <t xml:space="preserve">features.class_features[].name</t>
  </si>
  <si>
    <t xml:space="preserve">cc.features.class_features.level</t>
  </si>
  <si>
    <t xml:space="preserve">Features!B6:B25</t>
  </si>
  <si>
    <t xml:space="preserve">features.class_features[].level</t>
  </si>
  <si>
    <t xml:space="preserve">cc.features.class_features.description</t>
  </si>
  <si>
    <t xml:space="preserve">Features!C6:C25</t>
  </si>
  <si>
    <t xml:space="preserve">features.class_features[].description</t>
  </si>
  <si>
    <t xml:space="preserve">cc.features.race_features.name</t>
  </si>
  <si>
    <t xml:space="preserve">Features!A30:A39</t>
  </si>
  <si>
    <t xml:space="preserve">features.race_features[].name</t>
  </si>
  <si>
    <t xml:space="preserve">cc.features.race_features.level</t>
  </si>
  <si>
    <t xml:space="preserve">Features!B30:B39</t>
  </si>
  <si>
    <t xml:space="preserve">features.race_features[].level</t>
  </si>
  <si>
    <t xml:space="preserve">cc.features.race_features.description</t>
  </si>
  <si>
    <t xml:space="preserve">Features!C30:C39</t>
  </si>
  <si>
    <t xml:space="preserve">features.race_features[].description</t>
  </si>
  <si>
    <t xml:space="preserve">cc.features.feats.name</t>
  </si>
  <si>
    <t xml:space="preserve">Features!A44:A51</t>
  </si>
  <si>
    <t xml:space="preserve">features.feats[].name</t>
  </si>
  <si>
    <t xml:space="preserve">cc.features.feats.level</t>
  </si>
  <si>
    <t xml:space="preserve">Features!B44:B51</t>
  </si>
  <si>
    <t xml:space="preserve">features.feats[].level</t>
  </si>
  <si>
    <t xml:space="preserve">cc.features.feats.description</t>
  </si>
  <si>
    <t xml:space="preserve">Features!C44:C51</t>
  </si>
  <si>
    <t xml:space="preserve">features.feats[].description</t>
  </si>
  <si>
    <t xml:space="preserve">cc.features.fighting_style_feats.name</t>
  </si>
  <si>
    <t xml:space="preserve">Features!A56:A59</t>
  </si>
  <si>
    <t xml:space="preserve">features.fighting_style_feats[].name</t>
  </si>
  <si>
    <t xml:space="preserve">cc.features.fighting_style_feats.description</t>
  </si>
  <si>
    <t xml:space="preserve">Features!C56:C59</t>
  </si>
  <si>
    <t xml:space="preserve">features.fighting_style_feats[].description</t>
  </si>
  <si>
    <t xml:space="preserve">cc.features.special_abilities.name</t>
  </si>
  <si>
    <t xml:space="preserve">Features!A64:A75</t>
  </si>
  <si>
    <t xml:space="preserve">features.special_abilities[].name</t>
  </si>
  <si>
    <t xml:space="preserve">cc.features.special_abilities.level</t>
  </si>
  <si>
    <t xml:space="preserve">Features!B64:B75</t>
  </si>
  <si>
    <t xml:space="preserve">features.special_abilities[].level</t>
  </si>
  <si>
    <t xml:space="preserve">cc.features.special_abilities.description</t>
  </si>
  <si>
    <t xml:space="preserve">Features!C64:C75</t>
  </si>
  <si>
    <t xml:space="preserve">features.special_abilities[].description</t>
  </si>
  <si>
    <t xml:space="preserve">cc.combat.armor.name</t>
  </si>
  <si>
    <t xml:space="preserve">Inventory!A4</t>
  </si>
  <si>
    <t xml:space="preserve">combat.armor.name</t>
  </si>
  <si>
    <t xml:space="preserve">cc.combat.armor.ac_base</t>
  </si>
  <si>
    <t xml:space="preserve">Inventory!B4</t>
  </si>
  <si>
    <t xml:space="preserve">combat.armor.ac_base</t>
  </si>
  <si>
    <t xml:space="preserve">cc.combat.armor.equipped</t>
  </si>
  <si>
    <t xml:space="preserve">Inventory!D4</t>
  </si>
  <si>
    <t xml:space="preserve">combat.armor.equipped</t>
  </si>
  <si>
    <t xml:space="preserve">cc.combat.armor.attuned</t>
  </si>
  <si>
    <t xml:space="preserve">Inventory!E4</t>
  </si>
  <si>
    <t xml:space="preserve">combat.armor.attuned</t>
  </si>
  <si>
    <t xml:space="preserve">cc.combat.shield.ac_bonus</t>
  </si>
  <si>
    <t xml:space="preserve">Inventory!B7</t>
  </si>
  <si>
    <t xml:space="preserve">combat.shield.ac_bonus</t>
  </si>
  <si>
    <t xml:space="preserve">cc.combat.shield.equipped</t>
  </si>
  <si>
    <t xml:space="preserve">Inventory!D7</t>
  </si>
  <si>
    <t xml:space="preserve">combat.shield.equipped</t>
  </si>
  <si>
    <t xml:space="preserve">cc.combat.shield.attuned</t>
  </si>
  <si>
    <t xml:space="preserve">Inventory!E7</t>
  </si>
  <si>
    <t xml:space="preserve">combat.shield.attuned</t>
  </si>
  <si>
    <t xml:space="preserve">cc.combat.weapons.name</t>
  </si>
  <si>
    <t xml:space="preserve">Inventory!A11:A20</t>
  </si>
  <si>
    <t xml:space="preserve">combat.weapons[].name</t>
  </si>
  <si>
    <t xml:space="preserve">cc.combat.weapons.proficient</t>
  </si>
  <si>
    <t xml:space="preserve">Inventory!B11:B20</t>
  </si>
  <si>
    <t xml:space="preserve">combat.weapons[].proficient</t>
  </si>
  <si>
    <t xml:space="preserve">list Yes/No</t>
  </si>
  <si>
    <t xml:space="preserve">cc.combat.weapons.attack_bonus</t>
  </si>
  <si>
    <t xml:space="preserve">Inventory!D11:D20</t>
  </si>
  <si>
    <t xml:space="preserve">combat.weapons[].attack_bonus</t>
  </si>
  <si>
    <t xml:space="preserve">list number → "+N"</t>
  </si>
  <si>
    <t xml:space="preserve">cc.combat.weapons.damage</t>
  </si>
  <si>
    <t xml:space="preserve">Inventory!E11:E20</t>
  </si>
  <si>
    <t xml:space="preserve">combat.weapons[].damage</t>
  </si>
  <si>
    <t xml:space="preserve">cc.combat.weapons.damage_type</t>
  </si>
  <si>
    <t xml:space="preserve">Inventory!F11:F20</t>
  </si>
  <si>
    <t xml:space="preserve">combat.weapons[].damage_type</t>
  </si>
  <si>
    <t xml:space="preserve">cc.combat.weapons.properties</t>
  </si>
  <si>
    <t xml:space="preserve">Inventory!G11:G20</t>
  </si>
  <si>
    <t xml:space="preserve">combat.weapons[].properties</t>
  </si>
  <si>
    <t xml:space="preserve">cc.combat.weapons.special_properties</t>
  </si>
  <si>
    <t xml:space="preserve">Inventory!H11:H20</t>
  </si>
  <si>
    <t xml:space="preserve">combat.weapons[].special_properties</t>
  </si>
  <si>
    <t xml:space="preserve">cc.inventory.currency.wallet.cp</t>
  </si>
  <si>
    <t xml:space="preserve">Inventory!A25</t>
  </si>
  <si>
    <t xml:space="preserve">inventory.currency.wallet.cp</t>
  </si>
  <si>
    <t xml:space="preserve">cc.inventory.currency.wallet.sp</t>
  </si>
  <si>
    <t xml:space="preserve">Inventory!B25</t>
  </si>
  <si>
    <t xml:space="preserve">inventory.currency.wallet.sp</t>
  </si>
  <si>
    <t xml:space="preserve">cc.inventory.currency.wallet.ep</t>
  </si>
  <si>
    <t xml:space="preserve">Inventory!C25</t>
  </si>
  <si>
    <t xml:space="preserve">inventory.currency.wallet.ep</t>
  </si>
  <si>
    <t xml:space="preserve">cc.inventory.currency.wallet.gp</t>
  </si>
  <si>
    <t xml:space="preserve">Inventory!D25</t>
  </si>
  <si>
    <t xml:space="preserve">inventory.currency.wallet.gp</t>
  </si>
  <si>
    <t xml:space="preserve">cc.inventory.currency.wallet.pp</t>
  </si>
  <si>
    <t xml:space="preserve">Inventory!E25</t>
  </si>
  <si>
    <t xml:space="preserve">inventory.currency.wallet.pp</t>
  </si>
  <si>
    <t xml:space="preserve">cc.inventory.items.name</t>
  </si>
  <si>
    <t xml:space="preserve">Inventory!A29:A68</t>
  </si>
  <si>
    <t xml:space="preserve">inventory.items[].name</t>
  </si>
  <si>
    <t xml:space="preserve">cc.inventory.items.quantity</t>
  </si>
  <si>
    <t xml:space="preserve">Inventory!B29:B68</t>
  </si>
  <si>
    <t xml:space="preserve">inventory.items[].quantity</t>
  </si>
  <si>
    <t xml:space="preserve">cc.inventory.items.weight</t>
  </si>
  <si>
    <t xml:space="preserve">Inventory!C29:C68</t>
  </si>
  <si>
    <t xml:space="preserve">inventory.items[].weight</t>
  </si>
  <si>
    <t xml:space="preserve">cc.inventory.items.location</t>
  </si>
  <si>
    <t xml:space="preserve">Inventory!D29:D68</t>
  </si>
  <si>
    <t xml:space="preserve">inventory.items[].location</t>
  </si>
  <si>
    <t xml:space="preserve">cc.inventory.items.description</t>
  </si>
  <si>
    <t xml:space="preserve">Inventory!E29:E68</t>
  </si>
  <si>
    <t xml:space="preserve">inventory.items[].description</t>
  </si>
  <si>
    <t xml:space="preserve">cc.inventory.encumbrance.total_weight</t>
  </si>
  <si>
    <t xml:space="preserve">Inventory!H28</t>
  </si>
  <si>
    <t xml:space="preserve">inventory.encumbrance.total_weight</t>
  </si>
  <si>
    <t xml:space="preserve">cc.inventory.encumbrance.max_capacity</t>
  </si>
  <si>
    <t xml:space="preserve">Inventory!H29</t>
  </si>
  <si>
    <t xml:space="preserve">inventory.encumbrance.max_capacity</t>
  </si>
  <si>
    <t xml:space="preserve">cc.inventory.wondrous_items.name</t>
  </si>
  <si>
    <t xml:space="preserve">Inventory!A73:A82</t>
  </si>
  <si>
    <t xml:space="preserve">inventory.wondrous_items[].name</t>
  </si>
  <si>
    <t xml:space="preserve">cc.inventory.wondrous_items.description</t>
  </si>
  <si>
    <t xml:space="preserve">Inventory!B73:B82</t>
  </si>
  <si>
    <t xml:space="preserve">inventory.wondrous_items[].description</t>
  </si>
  <si>
    <t xml:space="preserve">cc.background.background_name</t>
  </si>
  <si>
    <t xml:space="preserve">Background!B4</t>
  </si>
  <si>
    <t xml:space="preserve">background.background_name</t>
  </si>
  <si>
    <t xml:space="preserve">cc.background.feature</t>
  </si>
  <si>
    <t xml:space="preserve">Background!B5</t>
  </si>
  <si>
    <t xml:space="preserve">background.feature</t>
  </si>
  <si>
    <t xml:space="preserve">cc.background.traits</t>
  </si>
  <si>
    <t xml:space="preserve">Background!B6</t>
  </si>
  <si>
    <t xml:space="preserve">background.traits</t>
  </si>
  <si>
    <t xml:space="preserve">cc.background.description</t>
  </si>
  <si>
    <t xml:space="preserve">Background!B7</t>
  </si>
  <si>
    <t xml:space="preserve">background.description</t>
  </si>
  <si>
    <t xml:space="preserve">cc.background.story</t>
  </si>
  <si>
    <t xml:space="preserve">Background!B8</t>
  </si>
  <si>
    <t xml:space="preserve">background.story</t>
  </si>
  <si>
    <t xml:space="preserve">cc.identity.languages</t>
  </si>
  <si>
    <t xml:space="preserve">Background!B9</t>
  </si>
  <si>
    <t xml:space="preserve">identity.languages</t>
  </si>
  <si>
    <t xml:space="preserve">comma list</t>
  </si>
  <si>
    <t xml:space="preserve">cc.identity.tool_proficiencies</t>
  </si>
  <si>
    <t xml:space="preserve">Background!B10</t>
  </si>
  <si>
    <t xml:space="preserve">identity.tool_proficiencies</t>
  </si>
  <si>
    <t xml:space="preserve">cc.defenses.resistances</t>
  </si>
  <si>
    <t xml:space="preserve">Background!B11</t>
  </si>
  <si>
    <t xml:space="preserve">defenses.resistances</t>
  </si>
  <si>
    <t xml:space="preserve">cc.defenses.immunities</t>
  </si>
  <si>
    <t xml:space="preserve">Background!B12</t>
  </si>
  <si>
    <t xml:space="preserve">defenses.immunities</t>
  </si>
  <si>
    <t xml:space="preserve">cc.defenses.advantages</t>
  </si>
  <si>
    <t xml:space="preserve">Background!B13</t>
  </si>
  <si>
    <t xml:space="preserve">defenses.advantages</t>
  </si>
  <si>
    <t xml:space="preserve">cc.defenses.disadvantages</t>
  </si>
  <si>
    <t xml:space="preserve">Background!B14</t>
  </si>
  <si>
    <t xml:space="preserve">defenses.disadvantages</t>
  </si>
  <si>
    <t xml:space="preserve">Hit die</t>
  </si>
  <si>
    <t xml:space="preserve">Spell ability</t>
  </si>
  <si>
    <t xml:space="preserve">Save 1</t>
  </si>
  <si>
    <t xml:space="preserve">Save 2</t>
  </si>
  <si>
    <t xml:space="preserve">Speed</t>
  </si>
  <si>
    <t xml:space="preserve">Category</t>
  </si>
  <si>
    <t xml:space="preserve">Stealth disadv.</t>
  </si>
  <si>
    <t xml:space="preserve">Attack ability</t>
  </si>
  <si>
    <t xml:space="preserve">Casting time</t>
  </si>
  <si>
    <t xml:space="preserve">Components</t>
  </si>
  <si>
    <t xml:space="preserve">Duration</t>
  </si>
  <si>
    <t xml:space="preserve">Concentration</t>
  </si>
  <si>
    <t xml:space="preserve">Classes</t>
  </si>
  <si>
    <t xml:space="preserve">Language</t>
  </si>
  <si>
    <t xml:space="preserve">Condition</t>
  </si>
  <si>
    <t xml:space="preserve">Feat</t>
  </si>
  <si>
    <t xml:space="preserve">Barbarian</t>
  </si>
  <si>
    <t xml:space="preserve">Path of the Berserker</t>
  </si>
  <si>
    <t xml:space="preserve">Dwarf</t>
  </si>
  <si>
    <t xml:space="preserve">Medium</t>
  </si>
  <si>
    <t xml:space="preserve">Hill Dwarf</t>
  </si>
  <si>
    <t xml:space="preserve">Padded Armor</t>
  </si>
  <si>
    <t xml:space="preserve">Light</t>
  </si>
  <si>
    <t xml:space="preserve">Club</t>
  </si>
  <si>
    <t xml:space="preserve">Simple Melee</t>
  </si>
  <si>
    <t xml:space="preserve">1d4</t>
  </si>
  <si>
    <t xml:space="preserve">Bludgeoning</t>
  </si>
  <si>
    <t xml:space="preserve">Acid Splash</t>
  </si>
  <si>
    <t xml:space="preserve">Conjuration</t>
  </si>
  <si>
    <t xml:space="preserve">1 action</t>
  </si>
  <si>
    <t xml:space="preserve">60 feet</t>
  </si>
  <si>
    <t xml:space="preserve">V, S</t>
  </si>
  <si>
    <t xml:space="preserve">Instantaneous</t>
  </si>
  <si>
    <t xml:space="preserve">Sorcerer, Wizard</t>
  </si>
  <si>
    <t xml:space="preserve">Lawful Good</t>
  </si>
  <si>
    <t xml:space="preserve">SR</t>
  </si>
  <si>
    <t xml:space="preserve">Common</t>
  </si>
  <si>
    <t xml:space="preserve">Acid</t>
  </si>
  <si>
    <t xml:space="preserve">Blinded</t>
  </si>
  <si>
    <t xml:space="preserve">Tiny</t>
  </si>
  <si>
    <t xml:space="preserve">Acolyte</t>
  </si>
  <si>
    <t xml:space="preserve">Grappler</t>
  </si>
  <si>
    <t xml:space="preserve">d6</t>
  </si>
  <si>
    <t xml:space="preserve">Bard</t>
  </si>
  <si>
    <t xml:space="preserve">College of Lore</t>
  </si>
  <si>
    <t xml:space="preserve">Elf</t>
  </si>
  <si>
    <t xml:space="preserve">High Elf</t>
  </si>
  <si>
    <t xml:space="preserve">Leather Armor</t>
  </si>
  <si>
    <t xml:space="preserve">Dagger</t>
  </si>
  <si>
    <t xml:space="preserve">Piercing</t>
  </si>
  <si>
    <t xml:space="preserve">Finesse, Light, Thrown (20/60)</t>
  </si>
  <si>
    <t xml:space="preserve">FIN</t>
  </si>
  <si>
    <t xml:space="preserve">Chill Touch</t>
  </si>
  <si>
    <t xml:space="preserve">Necromancy</t>
  </si>
  <si>
    <t xml:space="preserve">120 feet</t>
  </si>
  <si>
    <t xml:space="preserve">1 round</t>
  </si>
  <si>
    <t xml:space="preserve">Sorcerer, Warlock, Wizard</t>
  </si>
  <si>
    <t xml:space="preserve">Neutral Good</t>
  </si>
  <si>
    <t xml:space="preserve">proficient</t>
  </si>
  <si>
    <t xml:space="preserve">LR</t>
  </si>
  <si>
    <t xml:space="preserve">Dwarvish</t>
  </si>
  <si>
    <t xml:space="preserve">Charmed</t>
  </si>
  <si>
    <t xml:space="preserve">Small</t>
  </si>
  <si>
    <t xml:space="preserve">Backpack</t>
  </si>
  <si>
    <t xml:space="preserve">d8</t>
  </si>
  <si>
    <t xml:space="preserve">Cleric</t>
  </si>
  <si>
    <t xml:space="preserve">Life Domain</t>
  </si>
  <si>
    <t xml:space="preserve">Halfling</t>
  </si>
  <si>
    <t xml:space="preserve">Lightfoot Halfling</t>
  </si>
  <si>
    <t xml:space="preserve">Studded Leather Armor</t>
  </si>
  <si>
    <t xml:space="preserve">Greatclub</t>
  </si>
  <si>
    <t xml:space="preserve">1d8</t>
  </si>
  <si>
    <t xml:space="preserve">Two-Handed</t>
  </si>
  <si>
    <t xml:space="preserve">Dancing Lights</t>
  </si>
  <si>
    <t xml:space="preserve">Evocation</t>
  </si>
  <si>
    <t xml:space="preserve">V, S, M</t>
  </si>
  <si>
    <t xml:space="preserve">Up to 1 minute</t>
  </si>
  <si>
    <t xml:space="preserve">Bard, Sorcerer, Wizard</t>
  </si>
  <si>
    <t xml:space="preserve">Chaotic Good</t>
  </si>
  <si>
    <t xml:space="preserve">expertise</t>
  </si>
  <si>
    <t xml:space="preserve">Elvish</t>
  </si>
  <si>
    <t xml:space="preserve">Cold</t>
  </si>
  <si>
    <t xml:space="preserve">Deafened</t>
  </si>
  <si>
    <t xml:space="preserve">Belt pouch</t>
  </si>
  <si>
    <t xml:space="preserve">d10</t>
  </si>
  <si>
    <t xml:space="preserve">Druid</t>
  </si>
  <si>
    <t xml:space="preserve">Circle of the Land</t>
  </si>
  <si>
    <t xml:space="preserve">Human</t>
  </si>
  <si>
    <t xml:space="preserve">Rock Gnome</t>
  </si>
  <si>
    <t xml:space="preserve">Gnome</t>
  </si>
  <si>
    <t xml:space="preserve">Hide Armor</t>
  </si>
  <si>
    <t xml:space="preserve">Handaxe</t>
  </si>
  <si>
    <t xml:space="preserve">1d6</t>
  </si>
  <si>
    <t xml:space="preserve">Slashing</t>
  </si>
  <si>
    <t xml:space="preserve">Light, Thrown (20/60)</t>
  </si>
  <si>
    <t xml:space="preserve">Druidcraft</t>
  </si>
  <si>
    <t xml:space="preserve">Transmutation</t>
  </si>
  <si>
    <t xml:space="preserve">30 feet</t>
  </si>
  <si>
    <t xml:space="preserve">Lawful Neutral</t>
  </si>
  <si>
    <t xml:space="preserve">Giant</t>
  </si>
  <si>
    <t xml:space="preserve">Fire</t>
  </si>
  <si>
    <t xml:space="preserve">Frightened</t>
  </si>
  <si>
    <t xml:space="preserve">Large</t>
  </si>
  <si>
    <t xml:space="preserve">Storage</t>
  </si>
  <si>
    <t xml:space="preserve">d12</t>
  </si>
  <si>
    <t xml:space="preserve">Fighter</t>
  </si>
  <si>
    <t xml:space="preserve">Champion</t>
  </si>
  <si>
    <t xml:space="preserve">Dragonborn</t>
  </si>
  <si>
    <t xml:space="preserve">Chain Shirt</t>
  </si>
  <si>
    <t xml:space="preserve">Javelin</t>
  </si>
  <si>
    <t xml:space="preserve">Thrown (30/120)</t>
  </si>
  <si>
    <t xml:space="preserve">Eldritch Blast</t>
  </si>
  <si>
    <t xml:space="preserve">Warlock</t>
  </si>
  <si>
    <t xml:space="preserve">True Neutral</t>
  </si>
  <si>
    <t xml:space="preserve">Gnomish</t>
  </si>
  <si>
    <t xml:space="preserve">Force</t>
  </si>
  <si>
    <t xml:space="preserve">Grappled</t>
  </si>
  <si>
    <t xml:space="preserve">Huge</t>
  </si>
  <si>
    <t xml:space="preserve">Other</t>
  </si>
  <si>
    <t xml:space="preserve">Monk</t>
  </si>
  <si>
    <t xml:space="preserve">Way of the Open Hand</t>
  </si>
  <si>
    <t xml:space="preserve">Scale Mail</t>
  </si>
  <si>
    <t xml:space="preserve">Light hammer</t>
  </si>
  <si>
    <t xml:space="preserve">Fire Bolt</t>
  </si>
  <si>
    <t xml:space="preserve">Chaotic Neutral</t>
  </si>
  <si>
    <t xml:space="preserve">Goblin</t>
  </si>
  <si>
    <t xml:space="preserve">Lightning</t>
  </si>
  <si>
    <t xml:space="preserve">Incapacitated</t>
  </si>
  <si>
    <t xml:space="preserve">Gargantuan</t>
  </si>
  <si>
    <t xml:space="preserve">Paladin</t>
  </si>
  <si>
    <t xml:space="preserve">Oath of Devotion</t>
  </si>
  <si>
    <t xml:space="preserve">Half-Elf</t>
  </si>
  <si>
    <t xml:space="preserve">Breastplate</t>
  </si>
  <si>
    <t xml:space="preserve">Mace</t>
  </si>
  <si>
    <t xml:space="preserve">Guidance</t>
  </si>
  <si>
    <t xml:space="preserve">Divination</t>
  </si>
  <si>
    <t xml:space="preserve">Touch</t>
  </si>
  <si>
    <t xml:space="preserve">Cleric, Druid</t>
  </si>
  <si>
    <t xml:space="preserve">Lawful Evil</t>
  </si>
  <si>
    <t xml:space="preserve">Necrotic</t>
  </si>
  <si>
    <t xml:space="preserve">Invisible</t>
  </si>
  <si>
    <t xml:space="preserve">Ranger</t>
  </si>
  <si>
    <t xml:space="preserve">Hunter</t>
  </si>
  <si>
    <t xml:space="preserve">Half-Orc</t>
  </si>
  <si>
    <t xml:space="preserve">Half Plate Armor</t>
  </si>
  <si>
    <t xml:space="preserve">Quarterstaff</t>
  </si>
  <si>
    <t xml:space="preserve">Versatile (1d8)</t>
  </si>
  <si>
    <t xml:space="preserve">V, M</t>
  </si>
  <si>
    <t xml:space="preserve">1 hour</t>
  </si>
  <si>
    <t xml:space="preserve">Bard, Cleric, Sorcerer, Wizard</t>
  </si>
  <si>
    <t xml:space="preserve">Neutral Evil</t>
  </si>
  <si>
    <t xml:space="preserve">Orc</t>
  </si>
  <si>
    <t xml:space="preserve">Paralyzed</t>
  </si>
  <si>
    <t xml:space="preserve">Rogue</t>
  </si>
  <si>
    <t xml:space="preserve">Thief</t>
  </si>
  <si>
    <t xml:space="preserve">Tiefling</t>
  </si>
  <si>
    <t xml:space="preserve">Ring Mail</t>
  </si>
  <si>
    <t xml:space="preserve">Heavy</t>
  </si>
  <si>
    <t xml:space="preserve">Sickle</t>
  </si>
  <si>
    <t xml:space="preserve">Mage Hand</t>
  </si>
  <si>
    <t xml:space="preserve">1 minute</t>
  </si>
  <si>
    <t xml:space="preserve">Bard, Sorcerer, Warlock, Wizard</t>
  </si>
  <si>
    <t xml:space="preserve">Chaotic Evil</t>
  </si>
  <si>
    <t xml:space="preserve">Abyssal</t>
  </si>
  <si>
    <t xml:space="preserve">Poison</t>
  </si>
  <si>
    <t xml:space="preserve">Petrified</t>
  </si>
  <si>
    <t xml:space="preserve">Sorcerer</t>
  </si>
  <si>
    <t xml:space="preserve">Draconic Bloodline</t>
  </si>
  <si>
    <t xml:space="preserve">Chain Mail</t>
  </si>
  <si>
    <t xml:space="preserve">Spear</t>
  </si>
  <si>
    <t xml:space="preserve">Thrown (20/60), Versatile (1d8)</t>
  </si>
  <si>
    <t xml:space="preserve">Mending</t>
  </si>
  <si>
    <t xml:space="preserve">Cleric, Bard, Druid, Sorcerer, Wizard</t>
  </si>
  <si>
    <t xml:space="preserve">Celestial</t>
  </si>
  <si>
    <t xml:space="preserve">Psychic</t>
  </si>
  <si>
    <t xml:space="preserve">Poisoned</t>
  </si>
  <si>
    <t xml:space="preserve">The Fiend</t>
  </si>
  <si>
    <t xml:space="preserve">Splint Armor</t>
  </si>
  <si>
    <t xml:space="preserve">Crossbow, light</t>
  </si>
  <si>
    <t xml:space="preserve">Simple Ranged</t>
  </si>
  <si>
    <t xml:space="preserve">Ammunition (80/320), Loading, Two-Handed</t>
  </si>
  <si>
    <t xml:space="preserve">Message</t>
  </si>
  <si>
    <t xml:space="preserve">Draconic</t>
  </si>
  <si>
    <t xml:space="preserve">Radiant</t>
  </si>
  <si>
    <t xml:space="preserve">Prone</t>
  </si>
  <si>
    <t xml:space="preserve">Wizard</t>
  </si>
  <si>
    <t xml:space="preserve">School of Evocation</t>
  </si>
  <si>
    <t xml:space="preserve">Plate Armor</t>
  </si>
  <si>
    <t xml:space="preserve">Dart</t>
  </si>
  <si>
    <t xml:space="preserve">Finesse, Thrown (20/60)</t>
  </si>
  <si>
    <t xml:space="preserve">Minor Illusion</t>
  </si>
  <si>
    <t xml:space="preserve">Illusion</t>
  </si>
  <si>
    <t xml:space="preserve">S, M</t>
  </si>
  <si>
    <t xml:space="preserve">Deep Speech</t>
  </si>
  <si>
    <t xml:space="preserve">Restrained</t>
  </si>
  <si>
    <t xml:space="preserve">Shortbow</t>
  </si>
  <si>
    <t xml:space="preserve">Ammunition (80/320), Two-Handed</t>
  </si>
  <si>
    <t xml:space="preserve">Poison Spray</t>
  </si>
  <si>
    <t xml:space="preserve">10 feet</t>
  </si>
  <si>
    <t xml:space="preserve">Sorcerer, Warlock, Wizard, Druid</t>
  </si>
  <si>
    <t xml:space="preserve">Infernal</t>
  </si>
  <si>
    <t xml:space="preserve">Thunder</t>
  </si>
  <si>
    <t xml:space="preserve">Stunned</t>
  </si>
  <si>
    <t xml:space="preserve">Sling</t>
  </si>
  <si>
    <t xml:space="preserve">Ammunition (30/120)</t>
  </si>
  <si>
    <t xml:space="preserve">Prestidigitation</t>
  </si>
  <si>
    <t xml:space="preserve">Primordial</t>
  </si>
  <si>
    <t xml:space="preserve">Unconscious</t>
  </si>
  <si>
    <t xml:space="preserve">Battleaxe</t>
  </si>
  <si>
    <t xml:space="preserve">Martial Melee</t>
  </si>
  <si>
    <t xml:space="preserve">Versatile (1d10)</t>
  </si>
  <si>
    <t xml:space="preserve">Produce Flame</t>
  </si>
  <si>
    <t xml:space="preserve">Self</t>
  </si>
  <si>
    <t xml:space="preserve">10 minutes</t>
  </si>
  <si>
    <t xml:space="preserve">Sylvan</t>
  </si>
  <si>
    <t xml:space="preserve">Exhaustion</t>
  </si>
  <si>
    <t xml:space="preserve">Flail</t>
  </si>
  <si>
    <t xml:space="preserve">Ray of Frost</t>
  </si>
  <si>
    <t xml:space="preserve">Undercommon</t>
  </si>
  <si>
    <t xml:space="preserve">Glaive</t>
  </si>
  <si>
    <t xml:space="preserve">1d10</t>
  </si>
  <si>
    <t xml:space="preserve">Heavy, Reach, Two-Handed</t>
  </si>
  <si>
    <t xml:space="preserve">Resistance</t>
  </si>
  <si>
    <t xml:space="preserve">Abjuration</t>
  </si>
  <si>
    <t xml:space="preserve">Greataxe</t>
  </si>
  <si>
    <t xml:space="preserve">1d12</t>
  </si>
  <si>
    <t xml:space="preserve">Heavy, Two-Handed</t>
  </si>
  <si>
    <t xml:space="preserve">Sacred Flame</t>
  </si>
  <si>
    <t xml:space="preserve">Greatsword</t>
  </si>
  <si>
    <t xml:space="preserve">2d6</t>
  </si>
  <si>
    <t xml:space="preserve">Shillelagh</t>
  </si>
  <si>
    <t xml:space="preserve">1 bonus action</t>
  </si>
  <si>
    <t xml:space="preserve">Halberd</t>
  </si>
  <si>
    <t xml:space="preserve">Shocking Grasp</t>
  </si>
  <si>
    <t xml:space="preserve">Lance</t>
  </si>
  <si>
    <t xml:space="preserve">Reach, Special</t>
  </si>
  <si>
    <t xml:space="preserve">Spare the Dying</t>
  </si>
  <si>
    <t xml:space="preserve">Longsword</t>
  </si>
  <si>
    <t xml:space="preserve">Thaumaturgy</t>
  </si>
  <si>
    <t xml:space="preserve">V</t>
  </si>
  <si>
    <t xml:space="preserve">Maul</t>
  </si>
  <si>
    <t xml:space="preserve">True Strike</t>
  </si>
  <si>
    <t xml:space="preserve">S</t>
  </si>
  <si>
    <t xml:space="preserve">Up to 1 round</t>
  </si>
  <si>
    <t xml:space="preserve">Morningstar</t>
  </si>
  <si>
    <t xml:space="preserve">Vicious Mockery</t>
  </si>
  <si>
    <t xml:space="preserve">Enchantment</t>
  </si>
  <si>
    <t xml:space="preserve">Pike</t>
  </si>
  <si>
    <t xml:space="preserve">Alarm</t>
  </si>
  <si>
    <t xml:space="preserve">8 hours</t>
  </si>
  <si>
    <t xml:space="preserve">Ranger, Wizard</t>
  </si>
  <si>
    <t xml:space="preserve">Rapier</t>
  </si>
  <si>
    <t xml:space="preserve">Finesse</t>
  </si>
  <si>
    <t xml:space="preserve">Animal Friendship</t>
  </si>
  <si>
    <t xml:space="preserve">24 hours</t>
  </si>
  <si>
    <t xml:space="preserve">Bard, Druid, Ranger</t>
  </si>
  <si>
    <t xml:space="preserve">Scimitar</t>
  </si>
  <si>
    <t xml:space="preserve">Finesse, Light</t>
  </si>
  <si>
    <t xml:space="preserve">Bane</t>
  </si>
  <si>
    <t xml:space="preserve">Bard, Cleric</t>
  </si>
  <si>
    <t xml:space="preserve">Shortsword</t>
  </si>
  <si>
    <t xml:space="preserve">Bless</t>
  </si>
  <si>
    <t xml:space="preserve">Cleric, Paladin</t>
  </si>
  <si>
    <t xml:space="preserve">Trident</t>
  </si>
  <si>
    <t xml:space="preserve">Burning Hands</t>
  </si>
  <si>
    <t xml:space="preserve">War pick</t>
  </si>
  <si>
    <t xml:space="preserve">Charm Person</t>
  </si>
  <si>
    <t xml:space="preserve">Bard, Druid, Sorcerer, Warlock, Wizard</t>
  </si>
  <si>
    <t xml:space="preserve">Warhammer</t>
  </si>
  <si>
    <t xml:space="preserve">Color Spray</t>
  </si>
  <si>
    <t xml:space="preserve">Whip</t>
  </si>
  <si>
    <t xml:space="preserve">Finesse, Reach</t>
  </si>
  <si>
    <t xml:space="preserve">Command</t>
  </si>
  <si>
    <t xml:space="preserve">Blowgun</t>
  </si>
  <si>
    <t xml:space="preserve">Martial Ranged</t>
  </si>
  <si>
    <t xml:space="preserve">1</t>
  </si>
  <si>
    <t xml:space="preserve">Ammunition (25/100), Loading</t>
  </si>
  <si>
    <t xml:space="preserve">Comprehend Languages</t>
  </si>
  <si>
    <t xml:space="preserve">Crossbow, hand</t>
  </si>
  <si>
    <t xml:space="preserve">Ammunition (30/120), Light, Loading</t>
  </si>
  <si>
    <t xml:space="preserve">Create or Destroy Water</t>
  </si>
  <si>
    <t xml:space="preserve">Crossbow, heavy</t>
  </si>
  <si>
    <t xml:space="preserve">Ammunition (100/400), Heavy, Loading, Two-Handed</t>
  </si>
  <si>
    <t xml:space="preserve">Cure Wounds</t>
  </si>
  <si>
    <t xml:space="preserve">Bard, Cleric, Druid, Paladin, Ranger</t>
  </si>
  <si>
    <t xml:space="preserve">Longbow</t>
  </si>
  <si>
    <t xml:space="preserve">Ammunition (150/600), Heavy, Two-Handed</t>
  </si>
  <si>
    <t xml:space="preserve">Detect Evil and Good</t>
  </si>
  <si>
    <t xml:space="preserve">Up to 10 minutes</t>
  </si>
  <si>
    <t xml:space="preserve">Net</t>
  </si>
  <si>
    <t xml:space="preserve">Thrown (5/15), Special</t>
  </si>
  <si>
    <t xml:space="preserve">Detect Magic</t>
  </si>
  <si>
    <t xml:space="preserve">Bard, Cleric, Druid, Paladin, Ranger, Sorcerer, Wizard</t>
  </si>
  <si>
    <t xml:space="preserve">Detect Poison and Disease</t>
  </si>
  <si>
    <t xml:space="preserve">Cleric, Druid, Paladin, Ranger</t>
  </si>
  <si>
    <t xml:space="preserve">Disguise Self</t>
  </si>
  <si>
    <t xml:space="preserve">Divine Favor</t>
  </si>
  <si>
    <t xml:space="preserve">Entangle</t>
  </si>
  <si>
    <t xml:space="preserve">90 feet</t>
  </si>
  <si>
    <t xml:space="preserve">Expeditious Retreat</t>
  </si>
  <si>
    <t xml:space="preserve">Faerie Fire</t>
  </si>
  <si>
    <t xml:space="preserve">False Life</t>
  </si>
  <si>
    <t xml:space="preserve">Feather Fall</t>
  </si>
  <si>
    <t xml:space="preserve">1 reaction</t>
  </si>
  <si>
    <t xml:space="preserve">Find Familiar</t>
  </si>
  <si>
    <t xml:space="preserve">Floating Disk</t>
  </si>
  <si>
    <t xml:space="preserve">Fog Cloud</t>
  </si>
  <si>
    <t xml:space="preserve">Up to 1 hour</t>
  </si>
  <si>
    <t xml:space="preserve">Druid, Ranger, Sorcerer, Wizard</t>
  </si>
  <si>
    <t xml:space="preserve">Goodberry</t>
  </si>
  <si>
    <t xml:space="preserve">Druid, Ranger</t>
  </si>
  <si>
    <t xml:space="preserve">Grease</t>
  </si>
  <si>
    <t xml:space="preserve">Guiding Bolt</t>
  </si>
  <si>
    <t xml:space="preserve">Healing Word</t>
  </si>
  <si>
    <t xml:space="preserve">Bard, Cleric, Druid</t>
  </si>
  <si>
    <t xml:space="preserve">Hellish Rebuke</t>
  </si>
  <si>
    <t xml:space="preserve">Heroism</t>
  </si>
  <si>
    <t xml:space="preserve">Bard, Paladin</t>
  </si>
  <si>
    <t xml:space="preserve">Hideous Laughter</t>
  </si>
  <si>
    <t xml:space="preserve">Bard, Wizard</t>
  </si>
  <si>
    <t xml:space="preserve">Hunter's Mark</t>
  </si>
  <si>
    <t xml:space="preserve">Identify</t>
  </si>
  <si>
    <t xml:space="preserve">Illusory Script</t>
  </si>
  <si>
    <t xml:space="preserve">10 days</t>
  </si>
  <si>
    <t xml:space="preserve">Bard, Warlock, Wizard</t>
  </si>
  <si>
    <t xml:space="preserve">Inflict Wounds</t>
  </si>
  <si>
    <t xml:space="preserve">Jump</t>
  </si>
  <si>
    <t xml:space="preserve">Longstrider</t>
  </si>
  <si>
    <t xml:space="preserve">Bard, Druid, Ranger, Wizard</t>
  </si>
  <si>
    <t xml:space="preserve">Mage Armor</t>
  </si>
  <si>
    <t xml:space="preserve">Magic Missile</t>
  </si>
  <si>
    <t xml:space="preserve">Protection from Evil and Good</t>
  </si>
  <si>
    <t xml:space="preserve">Cleric, Paladin, Warlock, Wizard</t>
  </si>
  <si>
    <t xml:space="preserve">Purify Food and Drink</t>
  </si>
  <si>
    <t xml:space="preserve">Cleric, Druid, Paladin</t>
  </si>
  <si>
    <t xml:space="preserve">Sanctuary</t>
  </si>
  <si>
    <t xml:space="preserve">Shield of Faith</t>
  </si>
  <si>
    <t xml:space="preserve">Silent Image</t>
  </si>
  <si>
    <t xml:space="preserve">Sleep</t>
  </si>
  <si>
    <t xml:space="preserve">Speak with Animals</t>
  </si>
  <si>
    <t xml:space="preserve">Thunderwave</t>
  </si>
  <si>
    <t xml:space="preserve">Bard, Druid, Sorcerer, Wizard</t>
  </si>
  <si>
    <t xml:space="preserve">Unseen Servant</t>
  </si>
  <si>
    <t xml:space="preserve">Acid Arrow</t>
  </si>
  <si>
    <t xml:space="preserve">Aid</t>
  </si>
  <si>
    <t xml:space="preserve">Alter Self</t>
  </si>
  <si>
    <t xml:space="preserve">Animal Messenger</t>
  </si>
  <si>
    <t xml:space="preserve">Arcane Lock</t>
  </si>
  <si>
    <t xml:space="preserve">Until dispelled</t>
  </si>
  <si>
    <t xml:space="preserve">Arcanist's Magic Aura</t>
  </si>
  <si>
    <t xml:space="preserve">Augury</t>
  </si>
  <si>
    <t xml:space="preserve">Barkskin</t>
  </si>
  <si>
    <t xml:space="preserve">Blindness/Deafness</t>
  </si>
  <si>
    <t xml:space="preserve">Blur</t>
  </si>
  <si>
    <t xml:space="preserve">Branding Smite</t>
  </si>
  <si>
    <t xml:space="preserve">Calm Emotions</t>
  </si>
  <si>
    <t xml:space="preserve">Continual Flame</t>
  </si>
  <si>
    <t xml:space="preserve">Cleric, Wizard</t>
  </si>
  <si>
    <t xml:space="preserve">Darkness</t>
  </si>
  <si>
    <t xml:space="preserve">Darkvision</t>
  </si>
  <si>
    <t xml:space="preserve">Detect Thoughts</t>
  </si>
  <si>
    <t xml:space="preserve">Enhance Ability</t>
  </si>
  <si>
    <t xml:space="preserve">Bard, Cleric, Druid, Sorcerer</t>
  </si>
  <si>
    <t xml:space="preserve">Enlarge/Reduce</t>
  </si>
  <si>
    <t xml:space="preserve">Enthrall</t>
  </si>
  <si>
    <t xml:space="preserve">Bard, Warlock</t>
  </si>
  <si>
    <t xml:space="preserve">Find Steed</t>
  </si>
  <si>
    <t xml:space="preserve">Find Traps</t>
  </si>
  <si>
    <t xml:space="preserve">Cleric, Druid, Ranger</t>
  </si>
  <si>
    <t xml:space="preserve">Flame Blade</t>
  </si>
  <si>
    <t xml:space="preserve">Flaming Sphere</t>
  </si>
  <si>
    <t xml:space="preserve">Druid, Wizard</t>
  </si>
  <si>
    <t xml:space="preserve">Gentle Repose</t>
  </si>
  <si>
    <t xml:space="preserve">Gust of Wind</t>
  </si>
  <si>
    <t xml:space="preserve">Druid, Sorcerer, Wizard</t>
  </si>
  <si>
    <t xml:space="preserve">Heat Metal</t>
  </si>
  <si>
    <t xml:space="preserve">Bard, Druid</t>
  </si>
  <si>
    <t xml:space="preserve">Hold Person</t>
  </si>
  <si>
    <t xml:space="preserve">Bard, Cleric, Druid, Sorcerer, Warlock, Wizard</t>
  </si>
  <si>
    <t xml:space="preserve">Invisibility</t>
  </si>
  <si>
    <t xml:space="preserve">Knock</t>
  </si>
  <si>
    <t xml:space="preserve">Lesser Restoration</t>
  </si>
  <si>
    <t xml:space="preserve">Levitate</t>
  </si>
  <si>
    <t xml:space="preserve">Locate Animals or Plants</t>
  </si>
  <si>
    <t xml:space="preserve">Locate Object</t>
  </si>
  <si>
    <t xml:space="preserve">Bard, Cleric, Druid, Paladin, Ranger, Wizard</t>
  </si>
  <si>
    <t xml:space="preserve">Magic Mouth</t>
  </si>
  <si>
    <t xml:space="preserve">Magic Weapon</t>
  </si>
  <si>
    <t xml:space="preserve">Paladin, Wizard</t>
  </si>
  <si>
    <t xml:space="preserve">Mirror Image</t>
  </si>
  <si>
    <t xml:space="preserve">Misty Step</t>
  </si>
  <si>
    <t xml:space="preserve">Moonbeam</t>
  </si>
  <si>
    <t xml:space="preserve">Pass Without Trace</t>
  </si>
  <si>
    <t xml:space="preserve">Prayer of Healing</t>
  </si>
  <si>
    <t xml:space="preserve">Protection from Poison</t>
  </si>
  <si>
    <t xml:space="preserve">Ray of Enfeeblement</t>
  </si>
  <si>
    <t xml:space="preserve">Warlock, Wizard</t>
  </si>
  <si>
    <t xml:space="preserve">Rope Trick</t>
  </si>
  <si>
    <t xml:space="preserve">Scorching Ray</t>
  </si>
  <si>
    <t xml:space="preserve">See Invisibility</t>
  </si>
  <si>
    <t xml:space="preserve">Shatter</t>
  </si>
  <si>
    <t xml:space="preserve">Silence</t>
  </si>
  <si>
    <t xml:space="preserve">Bard, Cleric, Ranger</t>
  </si>
  <si>
    <t xml:space="preserve">Spider Climb</t>
  </si>
  <si>
    <t xml:space="preserve">Spike Growth</t>
  </si>
  <si>
    <t xml:space="preserve">150 feet</t>
  </si>
  <si>
    <t xml:space="preserve">Spiritual Weapon</t>
  </si>
  <si>
    <t xml:space="preserve">Suggestion</t>
  </si>
  <si>
    <t xml:space="preserve">Up to 8 hours</t>
  </si>
  <si>
    <t xml:space="preserve">Warding Bond</t>
  </si>
  <si>
    <t xml:space="preserve">Web</t>
  </si>
  <si>
    <t xml:space="preserve">Zone of Truth</t>
  </si>
  <si>
    <t xml:space="preserve">Bard, Cleric, Paladin</t>
  </si>
  <si>
    <t xml:space="preserve">Animate Dead</t>
  </si>
  <si>
    <t xml:space="preserve">Beacon of Hope</t>
  </si>
  <si>
    <t xml:space="preserve">Bestow Curse</t>
  </si>
  <si>
    <t xml:space="preserve">Bard, Cleric, Wizard</t>
  </si>
  <si>
    <t xml:space="preserve">Blink</t>
  </si>
  <si>
    <t xml:space="preserve">Call Lightning</t>
  </si>
  <si>
    <t xml:space="preserve">Clairvoyance</t>
  </si>
  <si>
    <t xml:space="preserve">1 mile</t>
  </si>
  <si>
    <t xml:space="preserve">Conjure Animals</t>
  </si>
  <si>
    <t xml:space="preserve">Counterspell</t>
  </si>
  <si>
    <t xml:space="preserve">Create Food and Water</t>
  </si>
  <si>
    <t xml:space="preserve">Daylight</t>
  </si>
  <si>
    <t xml:space="preserve">Cleric, Druid, Paladin, Ranger, Sorcerer</t>
  </si>
  <si>
    <t xml:space="preserve">Dispel Magic</t>
  </si>
  <si>
    <t xml:space="preserve">Bard, Cleric, Druid, Paladin, Sorcerer, Warlock, Wizard</t>
  </si>
  <si>
    <t xml:space="preserve">Fear</t>
  </si>
  <si>
    <t xml:space="preserve">Fireball</t>
  </si>
  <si>
    <t xml:space="preserve">Fly</t>
  </si>
  <si>
    <t xml:space="preserve">Gaseous Form</t>
  </si>
  <si>
    <t xml:space="preserve">Glyph of Warding</t>
  </si>
  <si>
    <t xml:space="preserve">Haste</t>
  </si>
  <si>
    <t xml:space="preserve">Hypnotic Pattern</t>
  </si>
  <si>
    <t xml:space="preserve">Lightning Bolt</t>
  </si>
  <si>
    <t xml:space="preserve">Magic Circle</t>
  </si>
  <si>
    <t xml:space="preserve">Major Image</t>
  </si>
  <si>
    <t xml:space="preserve">Mass Healing Word</t>
  </si>
  <si>
    <t xml:space="preserve">Meld Into Stone</t>
  </si>
  <si>
    <t xml:space="preserve">Nondetection</t>
  </si>
  <si>
    <t xml:space="preserve">Bard, Ranger, Wizard</t>
  </si>
  <si>
    <t xml:space="preserve">Phantom Steed</t>
  </si>
  <si>
    <t xml:space="preserve">Plant Growth</t>
  </si>
  <si>
    <t xml:space="preserve">Protection From Energy</t>
  </si>
  <si>
    <t xml:space="preserve">Cleric, Druid, Ranger, Sorcerer, Wizard</t>
  </si>
  <si>
    <t xml:space="preserve">Remove Curse</t>
  </si>
  <si>
    <t xml:space="preserve">Revivify</t>
  </si>
  <si>
    <t xml:space="preserve">Sending</t>
  </si>
  <si>
    <t xml:space="preserve">Unlimited</t>
  </si>
  <si>
    <t xml:space="preserve">Sleet Storm</t>
  </si>
  <si>
    <t xml:space="preserve">Slow</t>
  </si>
  <si>
    <t xml:space="preserve">Speak with Dead</t>
  </si>
  <si>
    <t xml:space="preserve">Speak with Plants</t>
  </si>
  <si>
    <t xml:space="preserve">Spirit Guardians</t>
  </si>
  <si>
    <t xml:space="preserve">Stinking Cloud</t>
  </si>
  <si>
    <t xml:space="preserve">Tiny Hut</t>
  </si>
  <si>
    <t xml:space="preserve">Tongues</t>
  </si>
  <si>
    <t xml:space="preserve">Bard, Cleric, Sorcerer, Warlock, Wizard</t>
  </si>
  <si>
    <t xml:space="preserve">Vampiric Touch</t>
  </si>
  <si>
    <t xml:space="preserve">Water Breathing</t>
  </si>
  <si>
    <t xml:space="preserve">Water Walk</t>
  </si>
  <si>
    <t xml:space="preserve">Cleric, Druid, Ranger, Sorcerer</t>
  </si>
  <si>
    <t xml:space="preserve">Wind Wall</t>
  </si>
  <si>
    <t xml:space="preserve">Arcane Eye</t>
  </si>
  <si>
    <t xml:space="preserve">Banishment</t>
  </si>
  <si>
    <t xml:space="preserve">Cleric, Paladin, Sorcerer, Warlock, Wizard</t>
  </si>
  <si>
    <t xml:space="preserve">Black Tentacles</t>
  </si>
  <si>
    <t xml:space="preserve">Blight</t>
  </si>
  <si>
    <t xml:space="preserve">Druid, Sorcerer, Warlock, Wizard</t>
  </si>
  <si>
    <t xml:space="preserve">Compulsion</t>
  </si>
  <si>
    <t xml:space="preserve">Confusion</t>
  </si>
  <si>
    <t xml:space="preserve">Conjure Minor Elementals</t>
  </si>
  <si>
    <t xml:space="preserve">Conjure Woodland Beings</t>
  </si>
  <si>
    <t xml:space="preserve">Control Water</t>
  </si>
  <si>
    <t xml:space="preserve">300 feet</t>
  </si>
  <si>
    <t xml:space="preserve">Cleric, Druid, Wizard</t>
  </si>
  <si>
    <t xml:space="preserve">Death Ward</t>
  </si>
  <si>
    <t xml:space="preserve">Dimension Door</t>
  </si>
  <si>
    <t xml:space="preserve">500 feet</t>
  </si>
  <si>
    <t xml:space="preserve">Dominate Beast</t>
  </si>
  <si>
    <t xml:space="preserve">Druid, Sorcerer</t>
  </si>
  <si>
    <t xml:space="preserve">Fabricate</t>
  </si>
  <si>
    <t xml:space="preserve">Faithful Hound</t>
  </si>
  <si>
    <t xml:space="preserve">Fire Shield</t>
  </si>
  <si>
    <t xml:space="preserve">Freedom of Movement</t>
  </si>
  <si>
    <t xml:space="preserve">Bard, Cleric, Druid, Ranger</t>
  </si>
  <si>
    <t xml:space="preserve">Giant Insect</t>
  </si>
  <si>
    <t xml:space="preserve">Greater Invisibility</t>
  </si>
  <si>
    <t xml:space="preserve">Guardian of Faith</t>
  </si>
  <si>
    <t xml:space="preserve">Hallucinatory Terrain</t>
  </si>
  <si>
    <t xml:space="preserve">Bard, Druid, Warlock, Wizard</t>
  </si>
  <si>
    <t xml:space="preserve">Ice Storm</t>
  </si>
  <si>
    <t xml:space="preserve">Locate Creature</t>
  </si>
  <si>
    <t xml:space="preserve">Phantasmal Killer</t>
  </si>
  <si>
    <t xml:space="preserve">Polymorph</t>
  </si>
  <si>
    <t xml:space="preserve">Private Sanctum</t>
  </si>
  <si>
    <t xml:space="preserve">Resilient Sphere</t>
  </si>
  <si>
    <t xml:space="preserve">Secret Chest</t>
  </si>
  <si>
    <t xml:space="preserve">Stone Shape</t>
  </si>
  <si>
    <t xml:space="preserve">Stoneskin</t>
  </si>
  <si>
    <t xml:space="preserve">Wall of Fire</t>
  </si>
  <si>
    <t xml:space="preserve">Animate Objects</t>
  </si>
  <si>
    <t xml:space="preserve">Antilife Shell</t>
  </si>
  <si>
    <t xml:space="preserve">Arcane Hand</t>
  </si>
  <si>
    <t xml:space="preserve">Awaken</t>
  </si>
  <si>
    <t xml:space="preserve">Cloudkill</t>
  </si>
  <si>
    <t xml:space="preserve">Commune</t>
  </si>
  <si>
    <t xml:space="preserve">Commune With Nature</t>
  </si>
  <si>
    <t xml:space="preserve">Cone of Cold</t>
  </si>
  <si>
    <t xml:space="preserve">Conjure Elemental</t>
  </si>
  <si>
    <t xml:space="preserve">Contact Other Plane</t>
  </si>
  <si>
    <t xml:space="preserve">Contagion</t>
  </si>
  <si>
    <t xml:space="preserve">7 days</t>
  </si>
  <si>
    <t xml:space="preserve">Creation</t>
  </si>
  <si>
    <t xml:space="preserve">Special</t>
  </si>
  <si>
    <t xml:space="preserve">Dispel Evil and Good</t>
  </si>
  <si>
    <t xml:space="preserve">Dominate Person</t>
  </si>
  <si>
    <t xml:space="preserve">Dream</t>
  </si>
  <si>
    <t xml:space="preserve">Flame Strike</t>
  </si>
  <si>
    <t xml:space="preserve">Geas</t>
  </si>
  <si>
    <t xml:space="preserve">30 days</t>
  </si>
  <si>
    <t xml:space="preserve">Bard, Cleric, Druid, Paladin, Wizard</t>
  </si>
  <si>
    <t xml:space="preserve">Greater Restoration</t>
  </si>
  <si>
    <t xml:space="preserve">Hallow</t>
  </si>
  <si>
    <t xml:space="preserve">Hold Monster</t>
  </si>
  <si>
    <t xml:space="preserve">Insect Plague</t>
  </si>
  <si>
    <t xml:space="preserve">Cleric, Druid, Sorcerer</t>
  </si>
  <si>
    <t xml:space="preserve">Legend Lore</t>
  </si>
  <si>
    <t xml:space="preserve">Mass Cure Wounds</t>
  </si>
  <si>
    <t xml:space="preserve">Mislead</t>
  </si>
  <si>
    <t xml:space="preserve">Modify Memory</t>
  </si>
  <si>
    <t xml:space="preserve">Passwall</t>
  </si>
  <si>
    <t xml:space="preserve">Planar Binding</t>
  </si>
  <si>
    <t xml:space="preserve">Bard, Cleric, Druid, Wizard</t>
  </si>
  <si>
    <t xml:space="preserve">Raise Dead</t>
  </si>
  <si>
    <t xml:space="preserve">Reincarnate</t>
  </si>
  <si>
    <t xml:space="preserve">Scrying</t>
  </si>
  <si>
    <t xml:space="preserve">Bard, Cleric, Druid, Warlock, Wizard</t>
  </si>
  <si>
    <t xml:space="preserve">Seeming</t>
  </si>
  <si>
    <t xml:space="preserve">Telekinesis</t>
  </si>
  <si>
    <t xml:space="preserve">Telepathic Bond</t>
  </si>
  <si>
    <t xml:space="preserve">Teleportation Circle</t>
  </si>
  <si>
    <t xml:space="preserve">Tree Stride</t>
  </si>
  <si>
    <t xml:space="preserve">Wall of Force</t>
  </si>
  <si>
    <t xml:space="preserve">Wall of Stone</t>
  </si>
  <si>
    <t xml:space="preserve">Blade Barrier</t>
  </si>
  <si>
    <t xml:space="preserve">Chain Lightning</t>
  </si>
  <si>
    <t xml:space="preserve">Circle of Death</t>
  </si>
  <si>
    <t xml:space="preserve">Conjure Fey</t>
  </si>
  <si>
    <t xml:space="preserve">Druid, Warlock</t>
  </si>
  <si>
    <t xml:space="preserve">Contingency</t>
  </si>
  <si>
    <t xml:space="preserve">Create Undead</t>
  </si>
  <si>
    <t xml:space="preserve">Cleric, Warlock, Wizard</t>
  </si>
  <si>
    <t xml:space="preserve">Disintegrate</t>
  </si>
  <si>
    <t xml:space="preserve">Eyebite</t>
  </si>
  <si>
    <t xml:space="preserve">Find the Path</t>
  </si>
  <si>
    <t xml:space="preserve">Up to 24 hours</t>
  </si>
  <si>
    <t xml:space="preserve">Flesh to Stone</t>
  </si>
  <si>
    <t xml:space="preserve">Forbiddance</t>
  </si>
  <si>
    <t xml:space="preserve">Freezing Sphere</t>
  </si>
  <si>
    <t xml:space="preserve">Globe of Invulnerability</t>
  </si>
  <si>
    <t xml:space="preserve">Guards and Wards</t>
  </si>
  <si>
    <t xml:space="preserve">Harm</t>
  </si>
  <si>
    <t xml:space="preserve">Heal</t>
  </si>
  <si>
    <t xml:space="preserve">Heroes' Feast</t>
  </si>
  <si>
    <t xml:space="preserve">Instant Summons</t>
  </si>
  <si>
    <t xml:space="preserve">Irresistible Dance</t>
  </si>
  <si>
    <t xml:space="preserve">Magic Jar</t>
  </si>
  <si>
    <t xml:space="preserve">Mass Suggestion</t>
  </si>
  <si>
    <t xml:space="preserve">Move Earth</t>
  </si>
  <si>
    <t xml:space="preserve">Up to 2 hours</t>
  </si>
  <si>
    <t xml:space="preserve">Planar Ally</t>
  </si>
  <si>
    <t xml:space="preserve">Programmed Illusion</t>
  </si>
  <si>
    <t xml:space="preserve">Sunbeam</t>
  </si>
  <si>
    <t xml:space="preserve">Transport via Plants</t>
  </si>
  <si>
    <t xml:space="preserve">True Seeing</t>
  </si>
  <si>
    <t xml:space="preserve">Wall of Ice</t>
  </si>
  <si>
    <t xml:space="preserve">Wall of Thorns</t>
  </si>
  <si>
    <t xml:space="preserve">Wind Walk</t>
  </si>
  <si>
    <t xml:space="preserve">Word of Recall</t>
  </si>
  <si>
    <t xml:space="preserve">5 feet</t>
  </si>
  <si>
    <t xml:space="preserve">Arcane Sword</t>
  </si>
  <si>
    <t xml:space="preserve">Conjure Celestial</t>
  </si>
  <si>
    <t xml:space="preserve">Delayed Blast Fireball</t>
  </si>
  <si>
    <t xml:space="preserve">Divine Word</t>
  </si>
  <si>
    <t xml:space="preserve">Etherealness</t>
  </si>
  <si>
    <t xml:space="preserve">Finger of Death</t>
  </si>
  <si>
    <t xml:space="preserve">Fire Storm</t>
  </si>
  <si>
    <t xml:space="preserve">Forcecage</t>
  </si>
  <si>
    <t xml:space="preserve">100 feet</t>
  </si>
  <si>
    <t xml:space="preserve">Magnificent Mansion</t>
  </si>
  <si>
    <t xml:space="preserve">Mirage Arcane</t>
  </si>
  <si>
    <t xml:space="preserve">Sight</t>
  </si>
  <si>
    <t xml:space="preserve">Bard, Druid, Wizard</t>
  </si>
  <si>
    <t xml:space="preserve">Plane Shift</t>
  </si>
  <si>
    <t xml:space="preserve">Cleric, Druid, Sorcerer, Warlock, Wizard</t>
  </si>
  <si>
    <t xml:space="preserve">Prismatic Spray</t>
  </si>
  <si>
    <t xml:space="preserve">Project Image</t>
  </si>
  <si>
    <t xml:space="preserve">500 miles</t>
  </si>
  <si>
    <t xml:space="preserve">Regenerate</t>
  </si>
  <si>
    <t xml:space="preserve">Resurrection</t>
  </si>
  <si>
    <t xml:space="preserve">Reverse Gravity</t>
  </si>
  <si>
    <t xml:space="preserve">Sequester</t>
  </si>
  <si>
    <t xml:space="preserve">Simulacrum</t>
  </si>
  <si>
    <t xml:space="preserve">12 hours</t>
  </si>
  <si>
    <t xml:space="preserve">Symbol</t>
  </si>
  <si>
    <t xml:space="preserve">Teleport</t>
  </si>
  <si>
    <t xml:space="preserve">Animal Shapes</t>
  </si>
  <si>
    <t xml:space="preserve">Antimagic Field</t>
  </si>
  <si>
    <t xml:space="preserve">Antipathy/Sympathy</t>
  </si>
  <si>
    <t xml:space="preserve">Clone</t>
  </si>
  <si>
    <t xml:space="preserve">Control Weather</t>
  </si>
  <si>
    <t xml:space="preserve">Demiplane</t>
  </si>
  <si>
    <t xml:space="preserve">Dominate Monster</t>
  </si>
  <si>
    <t xml:space="preserve">Earthquake</t>
  </si>
  <si>
    <t xml:space="preserve">Feeblemind</t>
  </si>
  <si>
    <t xml:space="preserve">Glibness</t>
  </si>
  <si>
    <t xml:space="preserve">Holy Aura</t>
  </si>
  <si>
    <t xml:space="preserve">Incendiary Cloud</t>
  </si>
  <si>
    <t xml:space="preserve">Maze</t>
  </si>
  <si>
    <t xml:space="preserve">Mind Blank</t>
  </si>
  <si>
    <t xml:space="preserve">Power Word Stun</t>
  </si>
  <si>
    <t xml:space="preserve">Sunburst</t>
  </si>
  <si>
    <t xml:space="preserve">Astral Projection</t>
  </si>
  <si>
    <t xml:space="preserve">Foresight</t>
  </si>
  <si>
    <t xml:space="preserve">Gate</t>
  </si>
  <si>
    <t xml:space="preserve">Cleric, Sorcerer, Wizard</t>
  </si>
  <si>
    <t xml:space="preserve">Imprisonment</t>
  </si>
  <si>
    <t xml:space="preserve">Mass Heal</t>
  </si>
  <si>
    <t xml:space="preserve">Meteor Swarm</t>
  </si>
  <si>
    <t xml:space="preserve">Power Word Kill</t>
  </si>
  <si>
    <t xml:space="preserve">Prismatic Wall</t>
  </si>
  <si>
    <t xml:space="preserve">Shapechange</t>
  </si>
  <si>
    <t xml:space="preserve">Storm of Vengeance</t>
  </si>
  <si>
    <t xml:space="preserve">Time Stop</t>
  </si>
  <si>
    <t xml:space="preserve">True Polymorph</t>
  </si>
  <si>
    <t xml:space="preserve">True Resurrection</t>
  </si>
  <si>
    <t xml:space="preserve">Weird</t>
  </si>
  <si>
    <t xml:space="preserve">Wish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</si>
</sst>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+0;\-0;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203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1C2030"/>
        <bgColor rgb="FF333333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C203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4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9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D3" s="3" t="s">
        <v>3</v>
      </c>
      <c r="H3" s="3" t="s">
        <v>4</v>
      </c>
    </row>
    <row r="4" customFormat="false" ht="15" hidden="false" customHeight="false" outlineLevel="0" collapsed="false">
      <c r="A4" s="3" t="s">
        <v>5</v>
      </c>
      <c r="B4" s="4"/>
      <c r="D4" s="5" t="s">
        <v>6</v>
      </c>
      <c r="E4" s="5" t="s">
        <v>7</v>
      </c>
      <c r="F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</row>
    <row r="5" customFormat="false" ht="15" hidden="false" customHeight="false" outlineLevel="0" collapsed="false">
      <c r="A5" s="3" t="s">
        <v>14</v>
      </c>
      <c r="B5" s="4"/>
      <c r="D5" s="4"/>
      <c r="E5" s="4"/>
      <c r="F5" s="4"/>
      <c r="H5" s="3" t="s">
        <v>15</v>
      </c>
      <c r="I5" s="6" t="s">
        <v>16</v>
      </c>
      <c r="J5" s="4" t="s">
        <v>17</v>
      </c>
      <c r="K5" s="4"/>
      <c r="L5" s="7" t="str">
        <f aca="false">IF(INDEX($D$19:$D$24,MATCH(I5,$B$19:$B$24,0))="","",INDEX($D$19:$D$24,MATCH(I5,$B$19:$B$24,0))+IF(J5="expertise",2,IF(J5="proficient",1,0))*N($D$28)+N(K5))</f>
        <v/>
      </c>
    </row>
    <row r="6" customFormat="false" ht="15" hidden="false" customHeight="false" outlineLevel="0" collapsed="false">
      <c r="A6" s="3" t="s">
        <v>18</v>
      </c>
      <c r="B6" s="4"/>
      <c r="D6" s="4"/>
      <c r="E6" s="4"/>
      <c r="F6" s="4"/>
      <c r="H6" s="3" t="s">
        <v>19</v>
      </c>
      <c r="I6" s="6" t="s">
        <v>20</v>
      </c>
      <c r="J6" s="4" t="s">
        <v>17</v>
      </c>
      <c r="K6" s="4"/>
      <c r="L6" s="7" t="str">
        <f aca="false">IF(INDEX($D$19:$D$24,MATCH(I6,$B$19:$B$24,0))="","",INDEX($D$19:$D$24,MATCH(I6,$B$19:$B$24,0))+IF(J6="expertise",2,IF(J6="proficient",1,0))*N($D$28)+N(K6))</f>
        <v/>
      </c>
    </row>
    <row r="7" customFormat="false" ht="15" hidden="false" customHeight="false" outlineLevel="0" collapsed="false">
      <c r="A7" s="3" t="s">
        <v>21</v>
      </c>
      <c r="B7" s="4"/>
      <c r="D7" s="4"/>
      <c r="E7" s="4"/>
      <c r="F7" s="4"/>
      <c r="H7" s="3" t="s">
        <v>22</v>
      </c>
      <c r="I7" s="6" t="s">
        <v>23</v>
      </c>
      <c r="J7" s="4" t="s">
        <v>17</v>
      </c>
      <c r="K7" s="4"/>
      <c r="L7" s="7" t="str">
        <f aca="false">IF(INDEX($D$19:$D$24,MATCH(I7,$B$19:$B$24,0))="","",INDEX($D$19:$D$24,MATCH(I7,$B$19:$B$24,0))+IF(J7="expertise",2,IF(J7="proficient",1,0))*N($D$28)+N(K7))</f>
        <v/>
      </c>
    </row>
    <row r="8" customFormat="false" ht="15" hidden="false" customHeight="false" outlineLevel="0" collapsed="false">
      <c r="A8" s="3" t="s">
        <v>24</v>
      </c>
      <c r="B8" s="4"/>
      <c r="E8" s="3" t="s">
        <v>25</v>
      </c>
      <c r="F8" s="7" t="n">
        <f aca="false">SUM(F5:F7)</f>
        <v>0</v>
      </c>
      <c r="H8" s="3" t="s">
        <v>26</v>
      </c>
      <c r="I8" s="6" t="s">
        <v>27</v>
      </c>
      <c r="J8" s="4" t="s">
        <v>17</v>
      </c>
      <c r="K8" s="4"/>
      <c r="L8" s="7" t="str">
        <f aca="false">IF(INDEX($D$19:$D$24,MATCH(I8,$B$19:$B$24,0))="","",INDEX($D$19:$D$24,MATCH(I8,$B$19:$B$24,0))+IF(J8="expertise",2,IF(J8="proficient",1,0))*N($D$28)+N(K8))</f>
        <v/>
      </c>
    </row>
    <row r="9" customFormat="false" ht="15" hidden="false" customHeight="false" outlineLevel="0" collapsed="false">
      <c r="A9" s="3" t="s">
        <v>28</v>
      </c>
      <c r="B9" s="4"/>
      <c r="D9" s="2" t="s">
        <v>29</v>
      </c>
      <c r="H9" s="3" t="s">
        <v>30</v>
      </c>
      <c r="I9" s="6" t="s">
        <v>31</v>
      </c>
      <c r="J9" s="4" t="s">
        <v>17</v>
      </c>
      <c r="K9" s="4"/>
      <c r="L9" s="7" t="str">
        <f aca="false">IF(INDEX($D$19:$D$24,MATCH(I9,$B$19:$B$24,0))="","",INDEX($D$19:$D$24,MATCH(I9,$B$19:$B$24,0))+IF(J9="expertise",2,IF(J9="proficient",1,0))*N($D$28)+N(K9))</f>
        <v/>
      </c>
    </row>
    <row r="10" customFormat="false" ht="15" hidden="false" customHeight="false" outlineLevel="0" collapsed="false">
      <c r="A10" s="3" t="s">
        <v>32</v>
      </c>
      <c r="B10" s="4"/>
      <c r="H10" s="3" t="s">
        <v>33</v>
      </c>
      <c r="I10" s="6" t="s">
        <v>23</v>
      </c>
      <c r="J10" s="4" t="s">
        <v>17</v>
      </c>
      <c r="K10" s="4"/>
      <c r="L10" s="7" t="str">
        <f aca="false">IF(INDEX($D$19:$D$24,MATCH(I10,$B$19:$B$24,0))="","",INDEX($D$19:$D$24,MATCH(I10,$B$19:$B$24,0))+IF(J10="expertise",2,IF(J10="proficient",1,0))*N($D$28)+N(K10))</f>
        <v/>
      </c>
    </row>
    <row r="11" customFormat="false" ht="15" hidden="false" customHeight="false" outlineLevel="0" collapsed="false">
      <c r="A11" s="3" t="s">
        <v>34</v>
      </c>
      <c r="B11" s="4"/>
      <c r="H11" s="3" t="s">
        <v>35</v>
      </c>
      <c r="I11" s="6" t="s">
        <v>20</v>
      </c>
      <c r="J11" s="4" t="s">
        <v>17</v>
      </c>
      <c r="K11" s="4"/>
      <c r="L11" s="7" t="str">
        <f aca="false">IF(INDEX($D$19:$D$24,MATCH(I11,$B$19:$B$24,0))="","",INDEX($D$19:$D$24,MATCH(I11,$B$19:$B$24,0))+IF(J11="expertise",2,IF(J11="proficient",1,0))*N($D$28)+N(K11))</f>
        <v/>
      </c>
    </row>
    <row r="12" customFormat="false" ht="15" hidden="false" customHeight="false" outlineLevel="0" collapsed="false">
      <c r="A12" s="3" t="s">
        <v>36</v>
      </c>
      <c r="B12" s="4"/>
      <c r="H12" s="3" t="s">
        <v>37</v>
      </c>
      <c r="I12" s="6" t="s">
        <v>31</v>
      </c>
      <c r="J12" s="4" t="s">
        <v>17</v>
      </c>
      <c r="K12" s="4"/>
      <c r="L12" s="7" t="str">
        <f aca="false">IF(INDEX($D$19:$D$24,MATCH(I12,$B$19:$B$24,0))="","",INDEX($D$19:$D$24,MATCH(I12,$B$19:$B$24,0))+IF(J12="expertise",2,IF(J12="proficient",1,0))*N($D$28)+N(K12))</f>
        <v/>
      </c>
    </row>
    <row r="13" customFormat="false" ht="15" hidden="false" customHeight="false" outlineLevel="0" collapsed="false">
      <c r="A13" s="3" t="s">
        <v>38</v>
      </c>
      <c r="B13" s="4"/>
      <c r="H13" s="3" t="s">
        <v>39</v>
      </c>
      <c r="I13" s="6" t="s">
        <v>23</v>
      </c>
      <c r="J13" s="4" t="s">
        <v>17</v>
      </c>
      <c r="K13" s="4"/>
      <c r="L13" s="7" t="str">
        <f aca="false">IF(INDEX($D$19:$D$24,MATCH(I13,$B$19:$B$24,0))="","",INDEX($D$19:$D$24,MATCH(I13,$B$19:$B$24,0))+IF(J13="expertise",2,IF(J13="proficient",1,0))*N($D$28)+N(K13))</f>
        <v/>
      </c>
    </row>
    <row r="14" customFormat="false" ht="15" hidden="false" customHeight="false" outlineLevel="0" collapsed="false">
      <c r="A14" s="3" t="s">
        <v>40</v>
      </c>
      <c r="B14" s="4"/>
      <c r="H14" s="3" t="s">
        <v>41</v>
      </c>
      <c r="I14" s="6" t="s">
        <v>20</v>
      </c>
      <c r="J14" s="4" t="s">
        <v>17</v>
      </c>
      <c r="K14" s="4"/>
      <c r="L14" s="7" t="str">
        <f aca="false">IF(INDEX($D$19:$D$24,MATCH(I14,$B$19:$B$24,0))="","",INDEX($D$19:$D$24,MATCH(I14,$B$19:$B$24,0))+IF(J14="expertise",2,IF(J14="proficient",1,0))*N($D$28)+N(K14))</f>
        <v/>
      </c>
    </row>
    <row r="15" customFormat="false" ht="15" hidden="false" customHeight="false" outlineLevel="0" collapsed="false">
      <c r="A15" s="3" t="s">
        <v>42</v>
      </c>
      <c r="B15" s="4"/>
      <c r="H15" s="3" t="s">
        <v>43</v>
      </c>
      <c r="I15" s="6" t="s">
        <v>23</v>
      </c>
      <c r="J15" s="4" t="s">
        <v>17</v>
      </c>
      <c r="K15" s="4"/>
      <c r="L15" s="7" t="str">
        <f aca="false">IF(INDEX($D$19:$D$24,MATCH(I15,$B$19:$B$24,0))="","",INDEX($D$19:$D$24,MATCH(I15,$B$19:$B$24,0))+IF(J15="expertise",2,IF(J15="proficient",1,0))*N($D$28)+N(K15))</f>
        <v/>
      </c>
    </row>
    <row r="16" customFormat="false" ht="15" hidden="false" customHeight="false" outlineLevel="0" collapsed="false">
      <c r="H16" s="3" t="s">
        <v>44</v>
      </c>
      <c r="I16" s="6" t="s">
        <v>20</v>
      </c>
      <c r="J16" s="4" t="s">
        <v>17</v>
      </c>
      <c r="K16" s="4"/>
      <c r="L16" s="7" t="str">
        <f aca="false">IF(INDEX($D$19:$D$24,MATCH(I16,$B$19:$B$24,0))="","",INDEX($D$19:$D$24,MATCH(I16,$B$19:$B$24,0))+IF(J16="expertise",2,IF(J16="proficient",1,0))*N($D$28)+N(K16))</f>
        <v/>
      </c>
    </row>
    <row r="17" customFormat="false" ht="15" hidden="false" customHeight="false" outlineLevel="0" collapsed="false">
      <c r="A17" s="3" t="s">
        <v>45</v>
      </c>
      <c r="H17" s="3" t="s">
        <v>46</v>
      </c>
      <c r="I17" s="6" t="s">
        <v>31</v>
      </c>
      <c r="J17" s="4" t="s">
        <v>17</v>
      </c>
      <c r="K17" s="4"/>
      <c r="L17" s="7" t="str">
        <f aca="false">IF(INDEX($D$19:$D$24,MATCH(I17,$B$19:$B$24,0))="","",INDEX($D$19:$D$24,MATCH(I17,$B$19:$B$24,0))+IF(J17="expertise",2,IF(J17="proficient",1,0))*N($D$28)+N(K17))</f>
        <v/>
      </c>
    </row>
    <row r="18" customFormat="false" ht="15" hidden="false" customHeight="false" outlineLevel="0" collapsed="false">
      <c r="A18" s="5" t="s">
        <v>10</v>
      </c>
      <c r="B18" s="5" t="s">
        <v>47</v>
      </c>
      <c r="C18" s="5" t="s">
        <v>48</v>
      </c>
      <c r="D18" s="5" t="s">
        <v>49</v>
      </c>
      <c r="E18" s="5" t="s">
        <v>50</v>
      </c>
      <c r="F18" s="5" t="s">
        <v>51</v>
      </c>
      <c r="H18" s="3" t="s">
        <v>52</v>
      </c>
      <c r="I18" s="6" t="s">
        <v>31</v>
      </c>
      <c r="J18" s="4" t="s">
        <v>17</v>
      </c>
      <c r="K18" s="4"/>
      <c r="L18" s="7" t="str">
        <f aca="false">IF(INDEX($D$19:$D$24,MATCH(I18,$B$19:$B$24,0))="","",INDEX($D$19:$D$24,MATCH(I18,$B$19:$B$24,0))+IF(J18="expertise",2,IF(J18="proficient",1,0))*N($D$28)+N(K18))</f>
        <v/>
      </c>
    </row>
    <row r="19" customFormat="false" ht="15" hidden="false" customHeight="false" outlineLevel="0" collapsed="false">
      <c r="A19" s="3" t="s">
        <v>53</v>
      </c>
      <c r="B19" s="6" t="s">
        <v>27</v>
      </c>
      <c r="C19" s="4"/>
      <c r="D19" s="7" t="str">
        <f aca="false">IF(C19="","",INT((C19-10)/2))</f>
        <v/>
      </c>
      <c r="E19" s="4"/>
      <c r="F19" s="7" t="str">
        <f aca="false">IF(D19="","",D19+IF(E19="Yes",$D$28,0))</f>
        <v/>
      </c>
      <c r="H19" s="3" t="s">
        <v>54</v>
      </c>
      <c r="I19" s="6" t="s">
        <v>23</v>
      </c>
      <c r="J19" s="4" t="s">
        <v>17</v>
      </c>
      <c r="K19" s="4"/>
      <c r="L19" s="7" t="str">
        <f aca="false">IF(INDEX($D$19:$D$24,MATCH(I19,$B$19:$B$24,0))="","",INDEX($D$19:$D$24,MATCH(I19,$B$19:$B$24,0))+IF(J19="expertise",2,IF(J19="proficient",1,0))*N($D$28)+N(K19))</f>
        <v/>
      </c>
    </row>
    <row r="20" customFormat="false" ht="15" hidden="false" customHeight="false" outlineLevel="0" collapsed="false">
      <c r="A20" s="3" t="s">
        <v>55</v>
      </c>
      <c r="B20" s="6" t="s">
        <v>16</v>
      </c>
      <c r="C20" s="4"/>
      <c r="D20" s="7" t="str">
        <f aca="false">IF(C20="","",INT((C20-10)/2))</f>
        <v/>
      </c>
      <c r="E20" s="4"/>
      <c r="F20" s="7" t="str">
        <f aca="false">IF(D20="","",D20+IF(E20="Yes",$D$28,0))</f>
        <v/>
      </c>
      <c r="H20" s="3" t="s">
        <v>56</v>
      </c>
      <c r="I20" s="6" t="s">
        <v>16</v>
      </c>
      <c r="J20" s="4" t="s">
        <v>17</v>
      </c>
      <c r="K20" s="4"/>
      <c r="L20" s="7" t="str">
        <f aca="false">IF(INDEX($D$19:$D$24,MATCH(I20,$B$19:$B$24,0))="","",INDEX($D$19:$D$24,MATCH(I20,$B$19:$B$24,0))+IF(J20="expertise",2,IF(J20="proficient",1,0))*N($D$28)+N(K20))</f>
        <v/>
      </c>
    </row>
    <row r="21" customFormat="false" ht="15" hidden="false" customHeight="false" outlineLevel="0" collapsed="false">
      <c r="A21" s="3" t="s">
        <v>57</v>
      </c>
      <c r="B21" s="6" t="s">
        <v>58</v>
      </c>
      <c r="C21" s="4"/>
      <c r="D21" s="7" t="str">
        <f aca="false">IF(C21="","",INT((C21-10)/2))</f>
        <v/>
      </c>
      <c r="E21" s="4"/>
      <c r="F21" s="7" t="str">
        <f aca="false">IF(D21="","",D21+IF(E21="Yes",$D$28,0))</f>
        <v/>
      </c>
      <c r="H21" s="3" t="s">
        <v>59</v>
      </c>
      <c r="I21" s="6" t="s">
        <v>16</v>
      </c>
      <c r="J21" s="4" t="s">
        <v>17</v>
      </c>
      <c r="K21" s="4"/>
      <c r="L21" s="7" t="str">
        <f aca="false">IF(INDEX($D$19:$D$24,MATCH(I21,$B$19:$B$24,0))="","",INDEX($D$19:$D$24,MATCH(I21,$B$19:$B$24,0))+IF(J21="expertise",2,IF(J21="proficient",1,0))*N($D$28)+N(K21))</f>
        <v/>
      </c>
    </row>
    <row r="22" customFormat="false" ht="15" hidden="false" customHeight="false" outlineLevel="0" collapsed="false">
      <c r="A22" s="3" t="s">
        <v>60</v>
      </c>
      <c r="B22" s="6" t="s">
        <v>23</v>
      </c>
      <c r="C22" s="4"/>
      <c r="D22" s="7" t="str">
        <f aca="false">IF(C22="","",INT((C22-10)/2))</f>
        <v/>
      </c>
      <c r="E22" s="4"/>
      <c r="F22" s="7" t="str">
        <f aca="false">IF(D22="","",D22+IF(E22="Yes",$D$28,0))</f>
        <v/>
      </c>
      <c r="H22" s="3" t="s">
        <v>61</v>
      </c>
      <c r="I22" s="6" t="s">
        <v>20</v>
      </c>
      <c r="J22" s="4" t="s">
        <v>17</v>
      </c>
      <c r="K22" s="4"/>
      <c r="L22" s="7" t="str">
        <f aca="false">IF(INDEX($D$19:$D$24,MATCH(I22,$B$19:$B$24,0))="","",INDEX($D$19:$D$24,MATCH(I22,$B$19:$B$24,0))+IF(J22="expertise",2,IF(J22="proficient",1,0))*N($D$28)+N(K22))</f>
        <v/>
      </c>
    </row>
    <row r="23" customFormat="false" ht="15" hidden="false" customHeight="false" outlineLevel="0" collapsed="false">
      <c r="A23" s="3" t="s">
        <v>62</v>
      </c>
      <c r="B23" s="6" t="s">
        <v>20</v>
      </c>
      <c r="C23" s="4"/>
      <c r="D23" s="7" t="str">
        <f aca="false">IF(C23="","",INT((C23-10)/2))</f>
        <v/>
      </c>
      <c r="E23" s="4"/>
      <c r="F23" s="7" t="str">
        <f aca="false">IF(D23="","",D23+IF(E23="Yes",$D$28,0))</f>
        <v/>
      </c>
    </row>
    <row r="24" customFormat="false" ht="15" hidden="false" customHeight="false" outlineLevel="0" collapsed="false">
      <c r="A24" s="3" t="s">
        <v>63</v>
      </c>
      <c r="B24" s="6" t="s">
        <v>31</v>
      </c>
      <c r="C24" s="4"/>
      <c r="D24" s="7" t="str">
        <f aca="false">IF(C24="","",INT((C24-10)/2))</f>
        <v/>
      </c>
      <c r="E24" s="4"/>
      <c r="F24" s="7" t="str">
        <f aca="false">IF(D24="","",D24+IF(E24="Yes",$D$28,0))</f>
        <v/>
      </c>
    </row>
    <row r="26" customFormat="false" ht="15" hidden="false" customHeight="false" outlineLevel="0" collapsed="false">
      <c r="A26" s="3" t="s">
        <v>64</v>
      </c>
    </row>
    <row r="27" customFormat="false" ht="15" hidden="false" customHeight="false" outlineLevel="0" collapsed="false">
      <c r="A27" s="5" t="s">
        <v>65</v>
      </c>
      <c r="B27" s="5" t="s">
        <v>66</v>
      </c>
      <c r="C27" s="5" t="s">
        <v>67</v>
      </c>
      <c r="D27" s="5" t="s">
        <v>68</v>
      </c>
    </row>
    <row r="28" customFormat="false" ht="15" hidden="false" customHeight="false" outlineLevel="0" collapsed="false">
      <c r="A28" s="3" t="s">
        <v>69</v>
      </c>
      <c r="B28" s="7" t="str">
        <f aca="false">IF($F$8&gt;0,INT(($F$8-1)/4)+2,"")</f>
        <v/>
      </c>
      <c r="C28" s="4"/>
      <c r="D28" s="7" t="str">
        <f aca="false">IF(C28&lt;&gt;"",C28,B28)</f>
        <v/>
      </c>
    </row>
    <row r="29" customFormat="false" ht="15" hidden="false" customHeight="false" outlineLevel="0" collapsed="false">
      <c r="A29" s="3" t="s">
        <v>70</v>
      </c>
      <c r="B29" s="7" t="str">
        <f aca="false">IF($D$20="","",$D$20)</f>
        <v/>
      </c>
      <c r="C29" s="4"/>
      <c r="D29" s="7" t="str">
        <f aca="false">IF(C29&lt;&gt;"",C29,B29)</f>
        <v/>
      </c>
    </row>
    <row r="30" customFormat="false" ht="15" hidden="false" customHeight="false" outlineLevel="0" collapsed="false">
      <c r="A30" s="3" t="s">
        <v>71</v>
      </c>
      <c r="B30" s="7" t="n">
        <f aca="false">IF(Inventory!$B$4="",10+N($D$20),Inventory!$B$4+IF(Inventory!$C$4="",N($D$20),MIN(N($D$20),Inventory!$C$4)))+N(Inventory!$B$7)</f>
        <v>10</v>
      </c>
      <c r="C30" s="4"/>
      <c r="D30" s="7" t="n">
        <f aca="false">IF(C30&lt;&gt;"",C30,B30)</f>
        <v>10</v>
      </c>
    </row>
    <row r="31" customFormat="false" ht="15" hidden="false" customHeight="false" outlineLevel="0" collapsed="false">
      <c r="A31" s="3" t="s">
        <v>72</v>
      </c>
      <c r="B31" s="7" t="n">
        <f aca="false">IFERROR(VLOOKUP($B$7,SRD!$J$2:$L$10,3,FALSE()),30)</f>
        <v>30</v>
      </c>
      <c r="C31" s="4"/>
      <c r="D31" s="7" t="n">
        <f aca="false">IF(C31&lt;&gt;"",C31,B31)</f>
        <v>30</v>
      </c>
    </row>
    <row r="32" customFormat="false" ht="15" hidden="false" customHeight="false" outlineLevel="0" collapsed="false">
      <c r="A32" s="3" t="s">
        <v>73</v>
      </c>
      <c r="B32" s="7" t="str">
        <f aca="false">IF($L$16="","",10+$L$16)</f>
        <v/>
      </c>
      <c r="C32" s="4"/>
      <c r="D32" s="7" t="str">
        <f aca="false">IF(C32&lt;&gt;"",C32,B32)</f>
        <v/>
      </c>
    </row>
    <row r="33" customFormat="false" ht="15" hidden="false" customHeight="false" outlineLevel="0" collapsed="false">
      <c r="A33" s="3" t="s">
        <v>74</v>
      </c>
      <c r="B33" s="7" t="str">
        <f aca="false">IFERROR(VLOOKUP($B$7,SRD!$J$2:$L$10,2,FALSE()),"Medium")</f>
        <v>Medium</v>
      </c>
      <c r="C33" s="4"/>
      <c r="D33" s="7" t="str">
        <f aca="false">IF(C33&lt;&gt;"",C33,B33)</f>
        <v>Medium</v>
      </c>
    </row>
    <row r="34" customFormat="false" ht="15" hidden="false" customHeight="false" outlineLevel="0" collapsed="false">
      <c r="A34" s="2" t="s">
        <v>75</v>
      </c>
    </row>
    <row r="36" customFormat="false" ht="15" hidden="false" customHeight="false" outlineLevel="0" collapsed="false">
      <c r="A36" s="3" t="s">
        <v>76</v>
      </c>
      <c r="D36" s="3" t="s">
        <v>77</v>
      </c>
    </row>
    <row r="37" customFormat="false" ht="15" hidden="false" customHeight="false" outlineLevel="0" collapsed="false">
      <c r="A37" s="3" t="s">
        <v>78</v>
      </c>
      <c r="B37" s="4"/>
      <c r="D37" s="3" t="s">
        <v>79</v>
      </c>
      <c r="E37" s="7" t="str">
        <f aca="false">IFERROR("d"&amp;VLOOKUP($D$5,SRD!$A$2:$E$13,2,FALSE()),"")</f>
        <v/>
      </c>
    </row>
    <row r="38" customFormat="false" ht="15" hidden="false" customHeight="false" outlineLevel="0" collapsed="false">
      <c r="A38" s="3" t="s">
        <v>80</v>
      </c>
      <c r="B38" s="4"/>
      <c r="D38" s="3" t="s">
        <v>81</v>
      </c>
      <c r="E38" s="7" t="str">
        <f aca="false">IF($F$8&gt;0,$F$8,"")</f>
        <v/>
      </c>
    </row>
    <row r="39" customFormat="false" ht="15" hidden="false" customHeight="false" outlineLevel="0" collapsed="false">
      <c r="A39" s="3" t="s">
        <v>82</v>
      </c>
      <c r="B39" s="4"/>
      <c r="D39" s="3" t="s">
        <v>83</v>
      </c>
      <c r="E39" s="4"/>
    </row>
    <row r="40" customFormat="false" ht="15" hidden="false" customHeight="false" outlineLevel="0" collapsed="false">
      <c r="D40" s="2" t="s">
        <v>84</v>
      </c>
    </row>
    <row r="44" customFormat="false" ht="15" hidden="false" customHeight="false" outlineLevel="0" collapsed="false">
      <c r="A44" s="2" t="s">
        <v>85</v>
      </c>
      <c r="B44" s="2" t="s">
        <v>86</v>
      </c>
      <c r="C44" s="2" t="s">
        <v>87</v>
      </c>
    </row>
  </sheetData>
  <dataValidations count="8">
    <dataValidation allowBlank="true" errorStyle="stop" operator="between" showDropDown="false" showErrorMessage="false" showInputMessage="false" sqref="B7" type="list">
      <formula1>SRD!$J$2:$J$10</formula1>
      <formula2>0</formula2>
    </dataValidation>
    <dataValidation allowBlank="true" errorStyle="stop" operator="between" showDropDown="false" showErrorMessage="false" showInputMessage="false" sqref="B8" type="list">
      <formula1>SRD!$N$2:$N$5</formula1>
      <formula2>0</formula2>
    </dataValidation>
    <dataValidation allowBlank="true" errorStyle="stop" operator="between" showDropDown="false" showErrorMessage="false" showInputMessage="false" sqref="B9" type="list">
      <formula1>SRD!$AT$2:$AT$10</formula1>
      <formula2>0</formula2>
    </dataValidation>
    <dataValidation allowBlank="true" errorStyle="stop" operator="between" showDropDown="false" showErrorMessage="false" showInputMessage="false" sqref="D5:D7" type="list">
      <formula1>SRD!$A$2:$A$13</formula1>
      <formula2>0</formula2>
    </dataValidation>
    <dataValidation allowBlank="true" errorStyle="stop" operator="between" showDropDown="false" showErrorMessage="false" showInputMessage="false" sqref="E5:E7" type="list">
      <formula1>SRD!$G$2:$G$13</formula1>
      <formula2>0</formula2>
    </dataValidation>
    <dataValidation allowBlank="true" errorStyle="stop" operator="between" showDropDown="false" showErrorMessage="true" showInputMessage="false" sqref="E19:E24" type="list">
      <formula1>SRD!$AU$2:$AU$3</formula1>
      <formula2>0</formula2>
    </dataValidation>
    <dataValidation allowBlank="true" errorStyle="stop" operator="between" showDropDown="false" showErrorMessage="false" showInputMessage="false" sqref="C33" type="list">
      <formula1>SRD!$BB$2:$BB$7</formula1>
      <formula2>0</formula2>
    </dataValidation>
    <dataValidation allowBlank="true" errorStyle="stop" operator="between" showDropDown="false" showErrorMessage="true" showInputMessage="false" sqref="J5:J22" type="list">
      <formula1>SRD!$AV$2:$AV$4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4"/>
  </cols>
  <sheetData>
    <row r="1" customFormat="false" ht="19.7" hidden="false" customHeight="false" outlineLevel="0" collapsed="false">
      <c r="A1" s="1" t="s">
        <v>88</v>
      </c>
    </row>
    <row r="3" customFormat="false" ht="15" hidden="false" customHeight="false" outlineLevel="0" collapsed="false">
      <c r="A3" s="5"/>
      <c r="B3" s="5" t="s">
        <v>66</v>
      </c>
      <c r="C3" s="5" t="s">
        <v>67</v>
      </c>
      <c r="D3" s="5" t="s">
        <v>68</v>
      </c>
    </row>
    <row r="4" customFormat="false" ht="15" hidden="false" customHeight="false" outlineLevel="0" collapsed="false">
      <c r="A4" s="3" t="s">
        <v>89</v>
      </c>
      <c r="B4" s="7" t="str">
        <f aca="false">IFERROR(IF(VLOOKUP(Character!$D$5,SRD!$A$2:$E$13,3,FALSE())="","",VLOOKUP(Character!$D$5,SRD!$A$2:$E$13,3,FALSE())),"")</f>
        <v/>
      </c>
      <c r="C4" s="4"/>
      <c r="D4" s="7" t="str">
        <f aca="false">IF(C4&lt;&gt;"",C4,B4)</f>
        <v/>
      </c>
    </row>
    <row r="5" customFormat="false" ht="15" hidden="false" customHeight="false" outlineLevel="0" collapsed="false">
      <c r="A5" s="3" t="s">
        <v>90</v>
      </c>
      <c r="B5" s="7" t="str">
        <f aca="false">IF($D$4="","",8+N(Character!$D$28)+N(INDEX(Character!$D$19:$D$24,MATCH($D$4,Character!$B$19:$B$24,0))))</f>
        <v/>
      </c>
      <c r="C5" s="4"/>
      <c r="D5" s="7" t="str">
        <f aca="false">IF(C5&lt;&gt;"",C5,B5)</f>
        <v/>
      </c>
    </row>
    <row r="6" customFormat="false" ht="15" hidden="false" customHeight="false" outlineLevel="0" collapsed="false">
      <c r="A6" s="3" t="s">
        <v>91</v>
      </c>
      <c r="B6" s="8" t="str">
        <f aca="false">IF($D$4="","",N(Character!$D$28)+N(INDEX(Character!$D$19:$D$24,MATCH($D$4,Character!$B$19:$B$24,0))))</f>
        <v/>
      </c>
      <c r="C6" s="4"/>
      <c r="D6" s="8" t="str">
        <f aca="false">IF(C6&lt;&gt;"",C6,B6)</f>
        <v/>
      </c>
    </row>
    <row r="8" customFormat="false" ht="15" hidden="false" customHeight="false" outlineLevel="0" collapsed="false">
      <c r="A8" s="3" t="s">
        <v>92</v>
      </c>
      <c r="E8" s="3" t="s">
        <v>93</v>
      </c>
    </row>
    <row r="9" customFormat="false" ht="15" hidden="false" customHeight="false" outlineLevel="0" collapsed="false">
      <c r="A9" s="5" t="s">
        <v>8</v>
      </c>
      <c r="B9" s="5" t="s">
        <v>81</v>
      </c>
      <c r="C9" s="5" t="s">
        <v>83</v>
      </c>
      <c r="E9" s="5" t="s">
        <v>94</v>
      </c>
      <c r="F9" s="5" t="s">
        <v>81</v>
      </c>
      <c r="G9" s="5" t="s">
        <v>95</v>
      </c>
      <c r="H9" s="5" t="s">
        <v>96</v>
      </c>
    </row>
    <row r="10" customFormat="false" ht="15" hidden="false" customHeight="false" outlineLevel="0" collapsed="false">
      <c r="A10" s="3" t="n">
        <v>1</v>
      </c>
      <c r="B10" s="4"/>
      <c r="C10" s="4"/>
      <c r="E10" s="4"/>
      <c r="F10" s="4"/>
      <c r="G10" s="4"/>
      <c r="H10" s="4"/>
    </row>
    <row r="11" customFormat="false" ht="15" hidden="false" customHeight="false" outlineLevel="0" collapsed="false">
      <c r="A11" s="3" t="n">
        <v>2</v>
      </c>
      <c r="B11" s="4"/>
      <c r="C11" s="4"/>
      <c r="E11" s="4"/>
      <c r="F11" s="4"/>
      <c r="G11" s="4"/>
      <c r="H11" s="4"/>
    </row>
    <row r="12" customFormat="false" ht="15" hidden="false" customHeight="false" outlineLevel="0" collapsed="false">
      <c r="A12" s="3" t="n">
        <v>3</v>
      </c>
      <c r="B12" s="4"/>
      <c r="C12" s="4"/>
      <c r="E12" s="4"/>
      <c r="F12" s="4"/>
      <c r="G12" s="4"/>
      <c r="H12" s="4"/>
    </row>
    <row r="13" customFormat="false" ht="15" hidden="false" customHeight="false" outlineLevel="0" collapsed="false">
      <c r="A13" s="3" t="n">
        <v>4</v>
      </c>
      <c r="B13" s="4"/>
      <c r="C13" s="4"/>
      <c r="E13" s="4"/>
      <c r="F13" s="4"/>
      <c r="G13" s="4"/>
      <c r="H13" s="4"/>
    </row>
    <row r="14" customFormat="false" ht="15" hidden="false" customHeight="false" outlineLevel="0" collapsed="false">
      <c r="A14" s="3" t="n">
        <v>5</v>
      </c>
      <c r="B14" s="4"/>
      <c r="C14" s="4"/>
      <c r="E14" s="4"/>
      <c r="F14" s="4"/>
      <c r="G14" s="4"/>
      <c r="H14" s="4"/>
    </row>
    <row r="15" customFormat="false" ht="15" hidden="false" customHeight="false" outlineLevel="0" collapsed="false">
      <c r="A15" s="3" t="n">
        <v>6</v>
      </c>
      <c r="B15" s="4"/>
      <c r="C15" s="4"/>
      <c r="E15" s="4"/>
      <c r="F15" s="4"/>
      <c r="G15" s="4"/>
      <c r="H15" s="4"/>
    </row>
    <row r="16" customFormat="false" ht="15" hidden="false" customHeight="false" outlineLevel="0" collapsed="false">
      <c r="A16" s="3" t="n">
        <v>7</v>
      </c>
      <c r="B16" s="4"/>
      <c r="C16" s="4"/>
      <c r="E16" s="4"/>
      <c r="F16" s="4"/>
      <c r="G16" s="4"/>
      <c r="H16" s="4"/>
    </row>
    <row r="17" customFormat="false" ht="15" hidden="false" customHeight="false" outlineLevel="0" collapsed="false">
      <c r="A17" s="3" t="n">
        <v>8</v>
      </c>
      <c r="B17" s="4"/>
      <c r="C17" s="4"/>
      <c r="E17" s="4"/>
      <c r="F17" s="4"/>
      <c r="G17" s="4"/>
      <c r="H17" s="4"/>
    </row>
    <row r="18" customFormat="false" ht="15" hidden="false" customHeight="false" outlineLevel="0" collapsed="false">
      <c r="A18" s="3" t="n">
        <v>9</v>
      </c>
      <c r="B18" s="4"/>
      <c r="C18" s="4"/>
    </row>
    <row r="19" customFormat="false" ht="15" hidden="false" customHeight="false" outlineLevel="0" collapsed="false">
      <c r="E19" s="2" t="s">
        <v>97</v>
      </c>
    </row>
    <row r="21" customFormat="false" ht="15" hidden="false" customHeight="false" outlineLevel="0" collapsed="false">
      <c r="A21" s="3" t="s">
        <v>98</v>
      </c>
      <c r="H21" s="2" t="s">
        <v>99</v>
      </c>
    </row>
    <row r="22" customFormat="false" ht="15" hidden="false" customHeight="false" outlineLevel="0" collapsed="false">
      <c r="A22" s="5" t="s">
        <v>100</v>
      </c>
      <c r="B22" s="5" t="s">
        <v>8</v>
      </c>
      <c r="C22" s="5" t="s">
        <v>101</v>
      </c>
      <c r="D22" s="5" t="s">
        <v>102</v>
      </c>
      <c r="E22" s="5" t="s">
        <v>103</v>
      </c>
      <c r="F22" s="5" t="s">
        <v>104</v>
      </c>
    </row>
    <row r="23" customFormat="false" ht="15" hidden="false" customHeight="false" outlineLevel="0" collapsed="false">
      <c r="A23" s="4"/>
      <c r="B23" s="7" t="str">
        <f aca="false">IF(A23="","",IFERROR(VLOOKUP(A23,SRD!$AF$2:$AO$320,2,FALSE()),""))</f>
        <v/>
      </c>
      <c r="C23" s="7" t="str">
        <f aca="false">IF(A23="","",IFERROR(VLOOKUP(A23,SRD!$AF$2:$AO$320,3,FALSE()),""))</f>
        <v/>
      </c>
      <c r="D23" s="7" t="str">
        <f aca="false">IF(A23="","",IFERROR(VLOOKUP(A23,SRD!$AF$2:$AO$320,8,FALSE()),""))</f>
        <v/>
      </c>
      <c r="E23" s="7" t="str">
        <f aca="false">IF(A23="","",IFERROR(VLOOKUP(A23,SRD!$AF$2:$AO$320,5,FALSE()),""))</f>
        <v/>
      </c>
      <c r="F23" s="7" t="str">
        <f aca="false">IF(A23="","",IFERROR(VLOOKUP(A23,SRD!$AF$2:$AO$320,9,FALSE()),""))</f>
        <v/>
      </c>
    </row>
    <row r="24" customFormat="false" ht="15" hidden="false" customHeight="false" outlineLevel="0" collapsed="false">
      <c r="A24" s="4"/>
      <c r="B24" s="7" t="str">
        <f aca="false">IF(A24="","",IFERROR(VLOOKUP(A24,SRD!$AF$2:$AO$320,2,FALSE()),""))</f>
        <v/>
      </c>
      <c r="C24" s="7" t="str">
        <f aca="false">IF(A24="","",IFERROR(VLOOKUP(A24,SRD!$AF$2:$AO$320,3,FALSE()),""))</f>
        <v/>
      </c>
      <c r="D24" s="7" t="str">
        <f aca="false">IF(A24="","",IFERROR(VLOOKUP(A24,SRD!$AF$2:$AO$320,8,FALSE()),""))</f>
        <v/>
      </c>
      <c r="E24" s="7" t="str">
        <f aca="false">IF(A24="","",IFERROR(VLOOKUP(A24,SRD!$AF$2:$AO$320,5,FALSE()),""))</f>
        <v/>
      </c>
      <c r="F24" s="7" t="str">
        <f aca="false">IF(A24="","",IFERROR(VLOOKUP(A24,SRD!$AF$2:$AO$320,9,FALSE()),""))</f>
        <v/>
      </c>
    </row>
    <row r="25" customFormat="false" ht="15" hidden="false" customHeight="false" outlineLevel="0" collapsed="false">
      <c r="A25" s="4"/>
      <c r="B25" s="7" t="str">
        <f aca="false">IF(A25="","",IFERROR(VLOOKUP(A25,SRD!$AF$2:$AO$320,2,FALSE()),""))</f>
        <v/>
      </c>
      <c r="C25" s="7" t="str">
        <f aca="false">IF(A25="","",IFERROR(VLOOKUP(A25,SRD!$AF$2:$AO$320,3,FALSE()),""))</f>
        <v/>
      </c>
      <c r="D25" s="7" t="str">
        <f aca="false">IF(A25="","",IFERROR(VLOOKUP(A25,SRD!$AF$2:$AO$320,8,FALSE()),""))</f>
        <v/>
      </c>
      <c r="E25" s="7" t="str">
        <f aca="false">IF(A25="","",IFERROR(VLOOKUP(A25,SRD!$AF$2:$AO$320,5,FALSE()),""))</f>
        <v/>
      </c>
      <c r="F25" s="7" t="str">
        <f aca="false">IF(A25="","",IFERROR(VLOOKUP(A25,SRD!$AF$2:$AO$320,9,FALSE()),""))</f>
        <v/>
      </c>
    </row>
    <row r="26" customFormat="false" ht="15" hidden="false" customHeight="false" outlineLevel="0" collapsed="false">
      <c r="A26" s="4"/>
      <c r="B26" s="7" t="str">
        <f aca="false">IF(A26="","",IFERROR(VLOOKUP(A26,SRD!$AF$2:$AO$320,2,FALSE()),""))</f>
        <v/>
      </c>
      <c r="C26" s="7" t="str">
        <f aca="false">IF(A26="","",IFERROR(VLOOKUP(A26,SRD!$AF$2:$AO$320,3,FALSE()),""))</f>
        <v/>
      </c>
      <c r="D26" s="7" t="str">
        <f aca="false">IF(A26="","",IFERROR(VLOOKUP(A26,SRD!$AF$2:$AO$320,8,FALSE()),""))</f>
        <v/>
      </c>
      <c r="E26" s="7" t="str">
        <f aca="false">IF(A26="","",IFERROR(VLOOKUP(A26,SRD!$AF$2:$AO$320,5,FALSE()),""))</f>
        <v/>
      </c>
      <c r="F26" s="7" t="str">
        <f aca="false">IF(A26="","",IFERROR(VLOOKUP(A26,SRD!$AF$2:$AO$320,9,FALSE()),""))</f>
        <v/>
      </c>
    </row>
    <row r="27" customFormat="false" ht="15" hidden="false" customHeight="false" outlineLevel="0" collapsed="false">
      <c r="A27" s="4"/>
      <c r="B27" s="7" t="str">
        <f aca="false">IF(A27="","",IFERROR(VLOOKUP(A27,SRD!$AF$2:$AO$320,2,FALSE()),""))</f>
        <v/>
      </c>
      <c r="C27" s="7" t="str">
        <f aca="false">IF(A27="","",IFERROR(VLOOKUP(A27,SRD!$AF$2:$AO$320,3,FALSE()),""))</f>
        <v/>
      </c>
      <c r="D27" s="7" t="str">
        <f aca="false">IF(A27="","",IFERROR(VLOOKUP(A27,SRD!$AF$2:$AO$320,8,FALSE()),""))</f>
        <v/>
      </c>
      <c r="E27" s="7" t="str">
        <f aca="false">IF(A27="","",IFERROR(VLOOKUP(A27,SRD!$AF$2:$AO$320,5,FALSE()),""))</f>
        <v/>
      </c>
      <c r="F27" s="7" t="str">
        <f aca="false">IF(A27="","",IFERROR(VLOOKUP(A27,SRD!$AF$2:$AO$320,9,FALSE()),""))</f>
        <v/>
      </c>
    </row>
    <row r="28" customFormat="false" ht="15" hidden="false" customHeight="false" outlineLevel="0" collapsed="false">
      <c r="A28" s="4"/>
      <c r="B28" s="7" t="str">
        <f aca="false">IF(A28="","",IFERROR(VLOOKUP(A28,SRD!$AF$2:$AO$320,2,FALSE()),""))</f>
        <v/>
      </c>
      <c r="C28" s="7" t="str">
        <f aca="false">IF(A28="","",IFERROR(VLOOKUP(A28,SRD!$AF$2:$AO$320,3,FALSE()),""))</f>
        <v/>
      </c>
      <c r="D28" s="7" t="str">
        <f aca="false">IF(A28="","",IFERROR(VLOOKUP(A28,SRD!$AF$2:$AO$320,8,FALSE()),""))</f>
        <v/>
      </c>
      <c r="E28" s="7" t="str">
        <f aca="false">IF(A28="","",IFERROR(VLOOKUP(A28,SRD!$AF$2:$AO$320,5,FALSE()),""))</f>
        <v/>
      </c>
      <c r="F28" s="7" t="str">
        <f aca="false">IF(A28="","",IFERROR(VLOOKUP(A28,SRD!$AF$2:$AO$320,9,FALSE()),""))</f>
        <v/>
      </c>
    </row>
    <row r="29" customFormat="false" ht="15" hidden="false" customHeight="false" outlineLevel="0" collapsed="false">
      <c r="A29" s="4"/>
      <c r="B29" s="7" t="str">
        <f aca="false">IF(A29="","",IFERROR(VLOOKUP(A29,SRD!$AF$2:$AO$320,2,FALSE()),""))</f>
        <v/>
      </c>
      <c r="C29" s="7" t="str">
        <f aca="false">IF(A29="","",IFERROR(VLOOKUP(A29,SRD!$AF$2:$AO$320,3,FALSE()),""))</f>
        <v/>
      </c>
      <c r="D29" s="7" t="str">
        <f aca="false">IF(A29="","",IFERROR(VLOOKUP(A29,SRD!$AF$2:$AO$320,8,FALSE()),""))</f>
        <v/>
      </c>
      <c r="E29" s="7" t="str">
        <f aca="false">IF(A29="","",IFERROR(VLOOKUP(A29,SRD!$AF$2:$AO$320,5,FALSE()),""))</f>
        <v/>
      </c>
      <c r="F29" s="7" t="str">
        <f aca="false">IF(A29="","",IFERROR(VLOOKUP(A29,SRD!$AF$2:$AO$320,9,FALSE()),""))</f>
        <v/>
      </c>
    </row>
    <row r="30" customFormat="false" ht="15" hidden="false" customHeight="false" outlineLevel="0" collapsed="false">
      <c r="A30" s="4"/>
      <c r="B30" s="7" t="str">
        <f aca="false">IF(A30="","",IFERROR(VLOOKUP(A30,SRD!$AF$2:$AO$320,2,FALSE()),""))</f>
        <v/>
      </c>
      <c r="C30" s="7" t="str">
        <f aca="false">IF(A30="","",IFERROR(VLOOKUP(A30,SRD!$AF$2:$AO$320,3,FALSE()),""))</f>
        <v/>
      </c>
      <c r="D30" s="7" t="str">
        <f aca="false">IF(A30="","",IFERROR(VLOOKUP(A30,SRD!$AF$2:$AO$320,8,FALSE()),""))</f>
        <v/>
      </c>
      <c r="E30" s="7" t="str">
        <f aca="false">IF(A30="","",IFERROR(VLOOKUP(A30,SRD!$AF$2:$AO$320,5,FALSE()),""))</f>
        <v/>
      </c>
      <c r="F30" s="7" t="str">
        <f aca="false">IF(A30="","",IFERROR(VLOOKUP(A30,SRD!$AF$2:$AO$320,9,FALSE()),""))</f>
        <v/>
      </c>
    </row>
    <row r="31" customFormat="false" ht="15" hidden="false" customHeight="false" outlineLevel="0" collapsed="false">
      <c r="A31" s="4"/>
      <c r="B31" s="7" t="str">
        <f aca="false">IF(A31="","",IFERROR(VLOOKUP(A31,SRD!$AF$2:$AO$320,2,FALSE()),""))</f>
        <v/>
      </c>
      <c r="C31" s="7" t="str">
        <f aca="false">IF(A31="","",IFERROR(VLOOKUP(A31,SRD!$AF$2:$AO$320,3,FALSE()),""))</f>
        <v/>
      </c>
      <c r="D31" s="7" t="str">
        <f aca="false">IF(A31="","",IFERROR(VLOOKUP(A31,SRD!$AF$2:$AO$320,8,FALSE()),""))</f>
        <v/>
      </c>
      <c r="E31" s="7" t="str">
        <f aca="false">IF(A31="","",IFERROR(VLOOKUP(A31,SRD!$AF$2:$AO$320,5,FALSE()),""))</f>
        <v/>
      </c>
      <c r="F31" s="7" t="str">
        <f aca="false">IF(A31="","",IFERROR(VLOOKUP(A31,SRD!$AF$2:$AO$320,9,FALSE()),""))</f>
        <v/>
      </c>
    </row>
    <row r="32" customFormat="false" ht="15" hidden="false" customHeight="false" outlineLevel="0" collapsed="false">
      <c r="A32" s="4"/>
      <c r="B32" s="7" t="str">
        <f aca="false">IF(A32="","",IFERROR(VLOOKUP(A32,SRD!$AF$2:$AO$320,2,FALSE()),""))</f>
        <v/>
      </c>
      <c r="C32" s="7" t="str">
        <f aca="false">IF(A32="","",IFERROR(VLOOKUP(A32,SRD!$AF$2:$AO$320,3,FALSE()),""))</f>
        <v/>
      </c>
      <c r="D32" s="7" t="str">
        <f aca="false">IF(A32="","",IFERROR(VLOOKUP(A32,SRD!$AF$2:$AO$320,8,FALSE()),""))</f>
        <v/>
      </c>
      <c r="E32" s="7" t="str">
        <f aca="false">IF(A32="","",IFERROR(VLOOKUP(A32,SRD!$AF$2:$AO$320,5,FALSE()),""))</f>
        <v/>
      </c>
      <c r="F32" s="7" t="str">
        <f aca="false">IF(A32="","",IFERROR(VLOOKUP(A32,SRD!$AF$2:$AO$320,9,FALSE()),""))</f>
        <v/>
      </c>
    </row>
    <row r="34" customFormat="false" ht="15" hidden="false" customHeight="false" outlineLevel="0" collapsed="false">
      <c r="A34" s="3" t="s">
        <v>105</v>
      </c>
    </row>
    <row r="35" customFormat="false" ht="15" hidden="false" customHeight="false" outlineLevel="0" collapsed="false">
      <c r="A35" s="5" t="s">
        <v>100</v>
      </c>
      <c r="B35" s="5" t="s">
        <v>8</v>
      </c>
      <c r="C35" s="5" t="s">
        <v>101</v>
      </c>
      <c r="D35" s="5" t="s">
        <v>102</v>
      </c>
      <c r="E35" s="5" t="s">
        <v>103</v>
      </c>
      <c r="F35" s="5" t="s">
        <v>104</v>
      </c>
    </row>
    <row r="36" customFormat="false" ht="15" hidden="false" customHeight="false" outlineLevel="0" collapsed="false">
      <c r="A36" s="4"/>
      <c r="B36" s="7" t="str">
        <f aca="false">IF(A36="","",IFERROR(VLOOKUP(A36,SRD!$AF$2:$AO$320,2,FALSE()),""))</f>
        <v/>
      </c>
      <c r="C36" s="7" t="str">
        <f aca="false">IF(A36="","",IFERROR(VLOOKUP(A36,SRD!$AF$2:$AO$320,3,FALSE()),""))</f>
        <v/>
      </c>
      <c r="D36" s="7" t="str">
        <f aca="false">IF(A36="","",IFERROR(VLOOKUP(A36,SRD!$AF$2:$AO$320,8,FALSE()),""))</f>
        <v/>
      </c>
      <c r="E36" s="7" t="str">
        <f aca="false">IF(A36="","",IFERROR(VLOOKUP(A36,SRD!$AF$2:$AO$320,5,FALSE()),""))</f>
        <v/>
      </c>
      <c r="F36" s="7" t="str">
        <f aca="false">IF(A36="","",IFERROR(VLOOKUP(A36,SRD!$AF$2:$AO$320,9,FALSE()),""))</f>
        <v/>
      </c>
    </row>
    <row r="37" customFormat="false" ht="15" hidden="false" customHeight="false" outlineLevel="0" collapsed="false">
      <c r="A37" s="4"/>
      <c r="B37" s="7" t="str">
        <f aca="false">IF(A37="","",IFERROR(VLOOKUP(A37,SRD!$AF$2:$AO$320,2,FALSE()),""))</f>
        <v/>
      </c>
      <c r="C37" s="7" t="str">
        <f aca="false">IF(A37="","",IFERROR(VLOOKUP(A37,SRD!$AF$2:$AO$320,3,FALSE()),""))</f>
        <v/>
      </c>
      <c r="D37" s="7" t="str">
        <f aca="false">IF(A37="","",IFERROR(VLOOKUP(A37,SRD!$AF$2:$AO$320,8,FALSE()),""))</f>
        <v/>
      </c>
      <c r="E37" s="7" t="str">
        <f aca="false">IF(A37="","",IFERROR(VLOOKUP(A37,SRD!$AF$2:$AO$320,5,FALSE()),""))</f>
        <v/>
      </c>
      <c r="F37" s="7" t="str">
        <f aca="false">IF(A37="","",IFERROR(VLOOKUP(A37,SRD!$AF$2:$AO$320,9,FALSE()),""))</f>
        <v/>
      </c>
    </row>
    <row r="38" customFormat="false" ht="15" hidden="false" customHeight="false" outlineLevel="0" collapsed="false">
      <c r="A38" s="4"/>
      <c r="B38" s="7" t="str">
        <f aca="false">IF(A38="","",IFERROR(VLOOKUP(A38,SRD!$AF$2:$AO$320,2,FALSE()),""))</f>
        <v/>
      </c>
      <c r="C38" s="7" t="str">
        <f aca="false">IF(A38="","",IFERROR(VLOOKUP(A38,SRD!$AF$2:$AO$320,3,FALSE()),""))</f>
        <v/>
      </c>
      <c r="D38" s="7" t="str">
        <f aca="false">IF(A38="","",IFERROR(VLOOKUP(A38,SRD!$AF$2:$AO$320,8,FALSE()),""))</f>
        <v/>
      </c>
      <c r="E38" s="7" t="str">
        <f aca="false">IF(A38="","",IFERROR(VLOOKUP(A38,SRD!$AF$2:$AO$320,5,FALSE()),""))</f>
        <v/>
      </c>
      <c r="F38" s="7" t="str">
        <f aca="false">IF(A38="","",IFERROR(VLOOKUP(A38,SRD!$AF$2:$AO$320,9,FALSE()),""))</f>
        <v/>
      </c>
    </row>
    <row r="39" customFormat="false" ht="15" hidden="false" customHeight="false" outlineLevel="0" collapsed="false">
      <c r="A39" s="4"/>
      <c r="B39" s="7" t="str">
        <f aca="false">IF(A39="","",IFERROR(VLOOKUP(A39,SRD!$AF$2:$AO$320,2,FALSE()),""))</f>
        <v/>
      </c>
      <c r="C39" s="7" t="str">
        <f aca="false">IF(A39="","",IFERROR(VLOOKUP(A39,SRD!$AF$2:$AO$320,3,FALSE()),""))</f>
        <v/>
      </c>
      <c r="D39" s="7" t="str">
        <f aca="false">IF(A39="","",IFERROR(VLOOKUP(A39,SRD!$AF$2:$AO$320,8,FALSE()),""))</f>
        <v/>
      </c>
      <c r="E39" s="7" t="str">
        <f aca="false">IF(A39="","",IFERROR(VLOOKUP(A39,SRD!$AF$2:$AO$320,5,FALSE()),""))</f>
        <v/>
      </c>
      <c r="F39" s="7" t="str">
        <f aca="false">IF(A39="","",IFERROR(VLOOKUP(A39,SRD!$AF$2:$AO$320,9,FALSE()),""))</f>
        <v/>
      </c>
    </row>
    <row r="40" customFormat="false" ht="15" hidden="false" customHeight="false" outlineLevel="0" collapsed="false">
      <c r="A40" s="4"/>
      <c r="B40" s="7" t="str">
        <f aca="false">IF(A40="","",IFERROR(VLOOKUP(A40,SRD!$AF$2:$AO$320,2,FALSE()),""))</f>
        <v/>
      </c>
      <c r="C40" s="7" t="str">
        <f aca="false">IF(A40="","",IFERROR(VLOOKUP(A40,SRD!$AF$2:$AO$320,3,FALSE()),""))</f>
        <v/>
      </c>
      <c r="D40" s="7" t="str">
        <f aca="false">IF(A40="","",IFERROR(VLOOKUP(A40,SRD!$AF$2:$AO$320,8,FALSE()),""))</f>
        <v/>
      </c>
      <c r="E40" s="7" t="str">
        <f aca="false">IF(A40="","",IFERROR(VLOOKUP(A40,SRD!$AF$2:$AO$320,5,FALSE()),""))</f>
        <v/>
      </c>
      <c r="F40" s="7" t="str">
        <f aca="false">IF(A40="","",IFERROR(VLOOKUP(A40,SRD!$AF$2:$AO$320,9,FALSE()),""))</f>
        <v/>
      </c>
    </row>
    <row r="41" customFormat="false" ht="15" hidden="false" customHeight="false" outlineLevel="0" collapsed="false">
      <c r="A41" s="4"/>
      <c r="B41" s="7" t="str">
        <f aca="false">IF(A41="","",IFERROR(VLOOKUP(A41,SRD!$AF$2:$AO$320,2,FALSE()),""))</f>
        <v/>
      </c>
      <c r="C41" s="7" t="str">
        <f aca="false">IF(A41="","",IFERROR(VLOOKUP(A41,SRD!$AF$2:$AO$320,3,FALSE()),""))</f>
        <v/>
      </c>
      <c r="D41" s="7" t="str">
        <f aca="false">IF(A41="","",IFERROR(VLOOKUP(A41,SRD!$AF$2:$AO$320,8,FALSE()),""))</f>
        <v/>
      </c>
      <c r="E41" s="7" t="str">
        <f aca="false">IF(A41="","",IFERROR(VLOOKUP(A41,SRD!$AF$2:$AO$320,5,FALSE()),""))</f>
        <v/>
      </c>
      <c r="F41" s="7" t="str">
        <f aca="false">IF(A41="","",IFERROR(VLOOKUP(A41,SRD!$AF$2:$AO$320,9,FALSE()),""))</f>
        <v/>
      </c>
    </row>
    <row r="42" customFormat="false" ht="15" hidden="false" customHeight="false" outlineLevel="0" collapsed="false">
      <c r="A42" s="4"/>
      <c r="B42" s="7" t="str">
        <f aca="false">IF(A42="","",IFERROR(VLOOKUP(A42,SRD!$AF$2:$AO$320,2,FALSE()),""))</f>
        <v/>
      </c>
      <c r="C42" s="7" t="str">
        <f aca="false">IF(A42="","",IFERROR(VLOOKUP(A42,SRD!$AF$2:$AO$320,3,FALSE()),""))</f>
        <v/>
      </c>
      <c r="D42" s="7" t="str">
        <f aca="false">IF(A42="","",IFERROR(VLOOKUP(A42,SRD!$AF$2:$AO$320,8,FALSE()),""))</f>
        <v/>
      </c>
      <c r="E42" s="7" t="str">
        <f aca="false">IF(A42="","",IFERROR(VLOOKUP(A42,SRD!$AF$2:$AO$320,5,FALSE()),""))</f>
        <v/>
      </c>
      <c r="F42" s="7" t="str">
        <f aca="false">IF(A42="","",IFERROR(VLOOKUP(A42,SRD!$AF$2:$AO$320,9,FALSE()),""))</f>
        <v/>
      </c>
    </row>
    <row r="43" customFormat="false" ht="15" hidden="false" customHeight="false" outlineLevel="0" collapsed="false">
      <c r="A43" s="4"/>
      <c r="B43" s="7" t="str">
        <f aca="false">IF(A43="","",IFERROR(VLOOKUP(A43,SRD!$AF$2:$AO$320,2,FALSE()),""))</f>
        <v/>
      </c>
      <c r="C43" s="7" t="str">
        <f aca="false">IF(A43="","",IFERROR(VLOOKUP(A43,SRD!$AF$2:$AO$320,3,FALSE()),""))</f>
        <v/>
      </c>
      <c r="D43" s="7" t="str">
        <f aca="false">IF(A43="","",IFERROR(VLOOKUP(A43,SRD!$AF$2:$AO$320,8,FALSE()),""))</f>
        <v/>
      </c>
      <c r="E43" s="7" t="str">
        <f aca="false">IF(A43="","",IFERROR(VLOOKUP(A43,SRD!$AF$2:$AO$320,5,FALSE()),""))</f>
        <v/>
      </c>
      <c r="F43" s="7" t="str">
        <f aca="false">IF(A43="","",IFERROR(VLOOKUP(A43,SRD!$AF$2:$AO$320,9,FALSE()),""))</f>
        <v/>
      </c>
    </row>
    <row r="44" customFormat="false" ht="15" hidden="false" customHeight="false" outlineLevel="0" collapsed="false">
      <c r="A44" s="4"/>
      <c r="B44" s="7" t="str">
        <f aca="false">IF(A44="","",IFERROR(VLOOKUP(A44,SRD!$AF$2:$AO$320,2,FALSE()),""))</f>
        <v/>
      </c>
      <c r="C44" s="7" t="str">
        <f aca="false">IF(A44="","",IFERROR(VLOOKUP(A44,SRD!$AF$2:$AO$320,3,FALSE()),""))</f>
        <v/>
      </c>
      <c r="D44" s="7" t="str">
        <f aca="false">IF(A44="","",IFERROR(VLOOKUP(A44,SRD!$AF$2:$AO$320,8,FALSE()),""))</f>
        <v/>
      </c>
      <c r="E44" s="7" t="str">
        <f aca="false">IF(A44="","",IFERROR(VLOOKUP(A44,SRD!$AF$2:$AO$320,5,FALSE()),""))</f>
        <v/>
      </c>
      <c r="F44" s="7" t="str">
        <f aca="false">IF(A44="","",IFERROR(VLOOKUP(A44,SRD!$AF$2:$AO$320,9,FALSE()),""))</f>
        <v/>
      </c>
    </row>
    <row r="45" customFormat="false" ht="15" hidden="false" customHeight="false" outlineLevel="0" collapsed="false">
      <c r="A45" s="4"/>
      <c r="B45" s="7" t="str">
        <f aca="false">IF(A45="","",IFERROR(VLOOKUP(A45,SRD!$AF$2:$AO$320,2,FALSE()),""))</f>
        <v/>
      </c>
      <c r="C45" s="7" t="str">
        <f aca="false">IF(A45="","",IFERROR(VLOOKUP(A45,SRD!$AF$2:$AO$320,3,FALSE()),""))</f>
        <v/>
      </c>
      <c r="D45" s="7" t="str">
        <f aca="false">IF(A45="","",IFERROR(VLOOKUP(A45,SRD!$AF$2:$AO$320,8,FALSE()),""))</f>
        <v/>
      </c>
      <c r="E45" s="7" t="str">
        <f aca="false">IF(A45="","",IFERROR(VLOOKUP(A45,SRD!$AF$2:$AO$320,5,FALSE()),""))</f>
        <v/>
      </c>
      <c r="F45" s="7" t="str">
        <f aca="false">IF(A45="","",IFERROR(VLOOKUP(A45,SRD!$AF$2:$AO$320,9,FALSE()),""))</f>
        <v/>
      </c>
    </row>
    <row r="47" customFormat="false" ht="15" hidden="false" customHeight="false" outlineLevel="0" collapsed="false">
      <c r="A47" s="3" t="s">
        <v>106</v>
      </c>
    </row>
    <row r="48" customFormat="false" ht="15" hidden="false" customHeight="false" outlineLevel="0" collapsed="false">
      <c r="A48" s="5" t="s">
        <v>100</v>
      </c>
      <c r="B48" s="5" t="s">
        <v>8</v>
      </c>
      <c r="C48" s="5" t="s">
        <v>101</v>
      </c>
      <c r="D48" s="5" t="s">
        <v>102</v>
      </c>
      <c r="E48" s="5" t="s">
        <v>103</v>
      </c>
      <c r="F48" s="5" t="s">
        <v>104</v>
      </c>
    </row>
    <row r="49" customFormat="false" ht="15" hidden="false" customHeight="false" outlineLevel="0" collapsed="false">
      <c r="A49" s="4"/>
      <c r="B49" s="7" t="str">
        <f aca="false">IF(A49="","",IFERROR(VLOOKUP(A49,SRD!$AF$2:$AO$320,2,FALSE()),""))</f>
        <v/>
      </c>
      <c r="C49" s="7" t="str">
        <f aca="false">IF(A49="","",IFERROR(VLOOKUP(A49,SRD!$AF$2:$AO$320,3,FALSE()),""))</f>
        <v/>
      </c>
      <c r="D49" s="7" t="str">
        <f aca="false">IF(A49="","",IFERROR(VLOOKUP(A49,SRD!$AF$2:$AO$320,8,FALSE()),""))</f>
        <v/>
      </c>
      <c r="E49" s="7" t="str">
        <f aca="false">IF(A49="","",IFERROR(VLOOKUP(A49,SRD!$AF$2:$AO$320,5,FALSE()),""))</f>
        <v/>
      </c>
      <c r="F49" s="7" t="str">
        <f aca="false">IF(A49="","",IFERROR(VLOOKUP(A49,SRD!$AF$2:$AO$320,9,FALSE()),""))</f>
        <v/>
      </c>
    </row>
    <row r="50" customFormat="false" ht="15" hidden="false" customHeight="false" outlineLevel="0" collapsed="false">
      <c r="A50" s="4"/>
      <c r="B50" s="7" t="str">
        <f aca="false">IF(A50="","",IFERROR(VLOOKUP(A50,SRD!$AF$2:$AO$320,2,FALSE()),""))</f>
        <v/>
      </c>
      <c r="C50" s="7" t="str">
        <f aca="false">IF(A50="","",IFERROR(VLOOKUP(A50,SRD!$AF$2:$AO$320,3,FALSE()),""))</f>
        <v/>
      </c>
      <c r="D50" s="7" t="str">
        <f aca="false">IF(A50="","",IFERROR(VLOOKUP(A50,SRD!$AF$2:$AO$320,8,FALSE()),""))</f>
        <v/>
      </c>
      <c r="E50" s="7" t="str">
        <f aca="false">IF(A50="","",IFERROR(VLOOKUP(A50,SRD!$AF$2:$AO$320,5,FALSE()),""))</f>
        <v/>
      </c>
      <c r="F50" s="7" t="str">
        <f aca="false">IF(A50="","",IFERROR(VLOOKUP(A50,SRD!$AF$2:$AO$320,9,FALSE()),""))</f>
        <v/>
      </c>
    </row>
    <row r="51" customFormat="false" ht="15" hidden="false" customHeight="false" outlineLevel="0" collapsed="false">
      <c r="A51" s="4"/>
      <c r="B51" s="7" t="str">
        <f aca="false">IF(A51="","",IFERROR(VLOOKUP(A51,SRD!$AF$2:$AO$320,2,FALSE()),""))</f>
        <v/>
      </c>
      <c r="C51" s="7" t="str">
        <f aca="false">IF(A51="","",IFERROR(VLOOKUP(A51,SRD!$AF$2:$AO$320,3,FALSE()),""))</f>
        <v/>
      </c>
      <c r="D51" s="7" t="str">
        <f aca="false">IF(A51="","",IFERROR(VLOOKUP(A51,SRD!$AF$2:$AO$320,8,FALSE()),""))</f>
        <v/>
      </c>
      <c r="E51" s="7" t="str">
        <f aca="false">IF(A51="","",IFERROR(VLOOKUP(A51,SRD!$AF$2:$AO$320,5,FALSE()),""))</f>
        <v/>
      </c>
      <c r="F51" s="7" t="str">
        <f aca="false">IF(A51="","",IFERROR(VLOOKUP(A51,SRD!$AF$2:$AO$320,9,FALSE()),""))</f>
        <v/>
      </c>
    </row>
    <row r="52" customFormat="false" ht="15" hidden="false" customHeight="false" outlineLevel="0" collapsed="false">
      <c r="A52" s="4"/>
      <c r="B52" s="7" t="str">
        <f aca="false">IF(A52="","",IFERROR(VLOOKUP(A52,SRD!$AF$2:$AO$320,2,FALSE()),""))</f>
        <v/>
      </c>
      <c r="C52" s="7" t="str">
        <f aca="false">IF(A52="","",IFERROR(VLOOKUP(A52,SRD!$AF$2:$AO$320,3,FALSE()),""))</f>
        <v/>
      </c>
      <c r="D52" s="7" t="str">
        <f aca="false">IF(A52="","",IFERROR(VLOOKUP(A52,SRD!$AF$2:$AO$320,8,FALSE()),""))</f>
        <v/>
      </c>
      <c r="E52" s="7" t="str">
        <f aca="false">IF(A52="","",IFERROR(VLOOKUP(A52,SRD!$AF$2:$AO$320,5,FALSE()),""))</f>
        <v/>
      </c>
      <c r="F52" s="7" t="str">
        <f aca="false">IF(A52="","",IFERROR(VLOOKUP(A52,SRD!$AF$2:$AO$320,9,FALSE()),""))</f>
        <v/>
      </c>
    </row>
    <row r="53" customFormat="false" ht="15" hidden="false" customHeight="false" outlineLevel="0" collapsed="false">
      <c r="A53" s="4"/>
      <c r="B53" s="7" t="str">
        <f aca="false">IF(A53="","",IFERROR(VLOOKUP(A53,SRD!$AF$2:$AO$320,2,FALSE()),""))</f>
        <v/>
      </c>
      <c r="C53" s="7" t="str">
        <f aca="false">IF(A53="","",IFERROR(VLOOKUP(A53,SRD!$AF$2:$AO$320,3,FALSE()),""))</f>
        <v/>
      </c>
      <c r="D53" s="7" t="str">
        <f aca="false">IF(A53="","",IFERROR(VLOOKUP(A53,SRD!$AF$2:$AO$320,8,FALSE()),""))</f>
        <v/>
      </c>
      <c r="E53" s="7" t="str">
        <f aca="false">IF(A53="","",IFERROR(VLOOKUP(A53,SRD!$AF$2:$AO$320,5,FALSE()),""))</f>
        <v/>
      </c>
      <c r="F53" s="7" t="str">
        <f aca="false">IF(A53="","",IFERROR(VLOOKUP(A53,SRD!$AF$2:$AO$320,9,FALSE()),""))</f>
        <v/>
      </c>
    </row>
    <row r="54" customFormat="false" ht="15" hidden="false" customHeight="false" outlineLevel="0" collapsed="false">
      <c r="A54" s="4"/>
      <c r="B54" s="7" t="str">
        <f aca="false">IF(A54="","",IFERROR(VLOOKUP(A54,SRD!$AF$2:$AO$320,2,FALSE()),""))</f>
        <v/>
      </c>
      <c r="C54" s="7" t="str">
        <f aca="false">IF(A54="","",IFERROR(VLOOKUP(A54,SRD!$AF$2:$AO$320,3,FALSE()),""))</f>
        <v/>
      </c>
      <c r="D54" s="7" t="str">
        <f aca="false">IF(A54="","",IFERROR(VLOOKUP(A54,SRD!$AF$2:$AO$320,8,FALSE()),""))</f>
        <v/>
      </c>
      <c r="E54" s="7" t="str">
        <f aca="false">IF(A54="","",IFERROR(VLOOKUP(A54,SRD!$AF$2:$AO$320,5,FALSE()),""))</f>
        <v/>
      </c>
      <c r="F54" s="7" t="str">
        <f aca="false">IF(A54="","",IFERROR(VLOOKUP(A54,SRD!$AF$2:$AO$320,9,FALSE()),""))</f>
        <v/>
      </c>
    </row>
    <row r="55" customFormat="false" ht="15" hidden="false" customHeight="false" outlineLevel="0" collapsed="false">
      <c r="A55" s="4"/>
      <c r="B55" s="7" t="str">
        <f aca="false">IF(A55="","",IFERROR(VLOOKUP(A55,SRD!$AF$2:$AO$320,2,FALSE()),""))</f>
        <v/>
      </c>
      <c r="C55" s="7" t="str">
        <f aca="false">IF(A55="","",IFERROR(VLOOKUP(A55,SRD!$AF$2:$AO$320,3,FALSE()),""))</f>
        <v/>
      </c>
      <c r="D55" s="7" t="str">
        <f aca="false">IF(A55="","",IFERROR(VLOOKUP(A55,SRD!$AF$2:$AO$320,8,FALSE()),""))</f>
        <v/>
      </c>
      <c r="E55" s="7" t="str">
        <f aca="false">IF(A55="","",IFERROR(VLOOKUP(A55,SRD!$AF$2:$AO$320,5,FALSE()),""))</f>
        <v/>
      </c>
      <c r="F55" s="7" t="str">
        <f aca="false">IF(A55="","",IFERROR(VLOOKUP(A55,SRD!$AF$2:$AO$320,9,FALSE()),""))</f>
        <v/>
      </c>
    </row>
    <row r="56" customFormat="false" ht="15" hidden="false" customHeight="false" outlineLevel="0" collapsed="false">
      <c r="A56" s="4"/>
      <c r="B56" s="7" t="str">
        <f aca="false">IF(A56="","",IFERROR(VLOOKUP(A56,SRD!$AF$2:$AO$320,2,FALSE()),""))</f>
        <v/>
      </c>
      <c r="C56" s="7" t="str">
        <f aca="false">IF(A56="","",IFERROR(VLOOKUP(A56,SRD!$AF$2:$AO$320,3,FALSE()),""))</f>
        <v/>
      </c>
      <c r="D56" s="7" t="str">
        <f aca="false">IF(A56="","",IFERROR(VLOOKUP(A56,SRD!$AF$2:$AO$320,8,FALSE()),""))</f>
        <v/>
      </c>
      <c r="E56" s="7" t="str">
        <f aca="false">IF(A56="","",IFERROR(VLOOKUP(A56,SRD!$AF$2:$AO$320,5,FALSE()),""))</f>
        <v/>
      </c>
      <c r="F56" s="7" t="str">
        <f aca="false">IF(A56="","",IFERROR(VLOOKUP(A56,SRD!$AF$2:$AO$320,9,FALSE()),""))</f>
        <v/>
      </c>
    </row>
    <row r="57" customFormat="false" ht="15" hidden="false" customHeight="false" outlineLevel="0" collapsed="false">
      <c r="A57" s="4"/>
      <c r="B57" s="7" t="str">
        <f aca="false">IF(A57="","",IFERROR(VLOOKUP(A57,SRD!$AF$2:$AO$320,2,FALSE()),""))</f>
        <v/>
      </c>
      <c r="C57" s="7" t="str">
        <f aca="false">IF(A57="","",IFERROR(VLOOKUP(A57,SRD!$AF$2:$AO$320,3,FALSE()),""))</f>
        <v/>
      </c>
      <c r="D57" s="7" t="str">
        <f aca="false">IF(A57="","",IFERROR(VLOOKUP(A57,SRD!$AF$2:$AO$320,8,FALSE()),""))</f>
        <v/>
      </c>
      <c r="E57" s="7" t="str">
        <f aca="false">IF(A57="","",IFERROR(VLOOKUP(A57,SRD!$AF$2:$AO$320,5,FALSE()),""))</f>
        <v/>
      </c>
      <c r="F57" s="7" t="str">
        <f aca="false">IF(A57="","",IFERROR(VLOOKUP(A57,SRD!$AF$2:$AO$320,9,FALSE()),""))</f>
        <v/>
      </c>
    </row>
    <row r="58" customFormat="false" ht="15" hidden="false" customHeight="false" outlineLevel="0" collapsed="false">
      <c r="A58" s="4"/>
      <c r="B58" s="7" t="str">
        <f aca="false">IF(A58="","",IFERROR(VLOOKUP(A58,SRD!$AF$2:$AO$320,2,FALSE()),""))</f>
        <v/>
      </c>
      <c r="C58" s="7" t="str">
        <f aca="false">IF(A58="","",IFERROR(VLOOKUP(A58,SRD!$AF$2:$AO$320,3,FALSE()),""))</f>
        <v/>
      </c>
      <c r="D58" s="7" t="str">
        <f aca="false">IF(A58="","",IFERROR(VLOOKUP(A58,SRD!$AF$2:$AO$320,8,FALSE()),""))</f>
        <v/>
      </c>
      <c r="E58" s="7" t="str">
        <f aca="false">IF(A58="","",IFERROR(VLOOKUP(A58,SRD!$AF$2:$AO$320,5,FALSE()),""))</f>
        <v/>
      </c>
      <c r="F58" s="7" t="str">
        <f aca="false">IF(A58="","",IFERROR(VLOOKUP(A58,SRD!$AF$2:$AO$320,9,FALSE()),""))</f>
        <v/>
      </c>
    </row>
    <row r="59" customFormat="false" ht="15" hidden="false" customHeight="false" outlineLevel="0" collapsed="false">
      <c r="A59" s="4"/>
      <c r="B59" s="7" t="str">
        <f aca="false">IF(A59="","",IFERROR(VLOOKUP(A59,SRD!$AF$2:$AO$320,2,FALSE()),""))</f>
        <v/>
      </c>
      <c r="C59" s="7" t="str">
        <f aca="false">IF(A59="","",IFERROR(VLOOKUP(A59,SRD!$AF$2:$AO$320,3,FALSE()),""))</f>
        <v/>
      </c>
      <c r="D59" s="7" t="str">
        <f aca="false">IF(A59="","",IFERROR(VLOOKUP(A59,SRD!$AF$2:$AO$320,8,FALSE()),""))</f>
        <v/>
      </c>
      <c r="E59" s="7" t="str">
        <f aca="false">IF(A59="","",IFERROR(VLOOKUP(A59,SRD!$AF$2:$AO$320,5,FALSE()),""))</f>
        <v/>
      </c>
      <c r="F59" s="7" t="str">
        <f aca="false">IF(A59="","",IFERROR(VLOOKUP(A59,SRD!$AF$2:$AO$320,9,FALSE()),""))</f>
        <v/>
      </c>
    </row>
    <row r="60" customFormat="false" ht="15" hidden="false" customHeight="false" outlineLevel="0" collapsed="false">
      <c r="A60" s="4"/>
      <c r="B60" s="7" t="str">
        <f aca="false">IF(A60="","",IFERROR(VLOOKUP(A60,SRD!$AF$2:$AO$320,2,FALSE()),""))</f>
        <v/>
      </c>
      <c r="C60" s="7" t="str">
        <f aca="false">IF(A60="","",IFERROR(VLOOKUP(A60,SRD!$AF$2:$AO$320,3,FALSE()),""))</f>
        <v/>
      </c>
      <c r="D60" s="7" t="str">
        <f aca="false">IF(A60="","",IFERROR(VLOOKUP(A60,SRD!$AF$2:$AO$320,8,FALSE()),""))</f>
        <v/>
      </c>
      <c r="E60" s="7" t="str">
        <f aca="false">IF(A60="","",IFERROR(VLOOKUP(A60,SRD!$AF$2:$AO$320,5,FALSE()),""))</f>
        <v/>
      </c>
      <c r="F60" s="7" t="str">
        <f aca="false">IF(A60="","",IFERROR(VLOOKUP(A60,SRD!$AF$2:$AO$320,9,FALSE()),""))</f>
        <v/>
      </c>
    </row>
    <row r="61" customFormat="false" ht="15" hidden="false" customHeight="false" outlineLevel="0" collapsed="false">
      <c r="A61" s="4"/>
      <c r="B61" s="7" t="str">
        <f aca="false">IF(A61="","",IFERROR(VLOOKUP(A61,SRD!$AF$2:$AO$320,2,FALSE()),""))</f>
        <v/>
      </c>
      <c r="C61" s="7" t="str">
        <f aca="false">IF(A61="","",IFERROR(VLOOKUP(A61,SRD!$AF$2:$AO$320,3,FALSE()),""))</f>
        <v/>
      </c>
      <c r="D61" s="7" t="str">
        <f aca="false">IF(A61="","",IFERROR(VLOOKUP(A61,SRD!$AF$2:$AO$320,8,FALSE()),""))</f>
        <v/>
      </c>
      <c r="E61" s="7" t="str">
        <f aca="false">IF(A61="","",IFERROR(VLOOKUP(A61,SRD!$AF$2:$AO$320,5,FALSE()),""))</f>
        <v/>
      </c>
      <c r="F61" s="7" t="str">
        <f aca="false">IF(A61="","",IFERROR(VLOOKUP(A61,SRD!$AF$2:$AO$320,9,FALSE()),""))</f>
        <v/>
      </c>
    </row>
    <row r="62" customFormat="false" ht="15" hidden="false" customHeight="false" outlineLevel="0" collapsed="false">
      <c r="A62" s="4"/>
      <c r="B62" s="7" t="str">
        <f aca="false">IF(A62="","",IFERROR(VLOOKUP(A62,SRD!$AF$2:$AO$320,2,FALSE()),""))</f>
        <v/>
      </c>
      <c r="C62" s="7" t="str">
        <f aca="false">IF(A62="","",IFERROR(VLOOKUP(A62,SRD!$AF$2:$AO$320,3,FALSE()),""))</f>
        <v/>
      </c>
      <c r="D62" s="7" t="str">
        <f aca="false">IF(A62="","",IFERROR(VLOOKUP(A62,SRD!$AF$2:$AO$320,8,FALSE()),""))</f>
        <v/>
      </c>
      <c r="E62" s="7" t="str">
        <f aca="false">IF(A62="","",IFERROR(VLOOKUP(A62,SRD!$AF$2:$AO$320,5,FALSE()),""))</f>
        <v/>
      </c>
      <c r="F62" s="7" t="str">
        <f aca="false">IF(A62="","",IFERROR(VLOOKUP(A62,SRD!$AF$2:$AO$320,9,FALSE()),""))</f>
        <v/>
      </c>
    </row>
    <row r="63" customFormat="false" ht="15" hidden="false" customHeight="false" outlineLevel="0" collapsed="false">
      <c r="A63" s="4"/>
      <c r="B63" s="7" t="str">
        <f aca="false">IF(A63="","",IFERROR(VLOOKUP(A63,SRD!$AF$2:$AO$320,2,FALSE()),""))</f>
        <v/>
      </c>
      <c r="C63" s="7" t="str">
        <f aca="false">IF(A63="","",IFERROR(VLOOKUP(A63,SRD!$AF$2:$AO$320,3,FALSE()),""))</f>
        <v/>
      </c>
      <c r="D63" s="7" t="str">
        <f aca="false">IF(A63="","",IFERROR(VLOOKUP(A63,SRD!$AF$2:$AO$320,8,FALSE()),""))</f>
        <v/>
      </c>
      <c r="E63" s="7" t="str">
        <f aca="false">IF(A63="","",IFERROR(VLOOKUP(A63,SRD!$AF$2:$AO$320,5,FALSE()),""))</f>
        <v/>
      </c>
      <c r="F63" s="7" t="str">
        <f aca="false">IF(A63="","",IFERROR(VLOOKUP(A63,SRD!$AF$2:$AO$320,9,FALSE()),""))</f>
        <v/>
      </c>
    </row>
    <row r="64" customFormat="false" ht="15" hidden="false" customHeight="false" outlineLevel="0" collapsed="false">
      <c r="A64" s="4"/>
      <c r="B64" s="7" t="str">
        <f aca="false">IF(A64="","",IFERROR(VLOOKUP(A64,SRD!$AF$2:$AO$320,2,FALSE()),""))</f>
        <v/>
      </c>
      <c r="C64" s="7" t="str">
        <f aca="false">IF(A64="","",IFERROR(VLOOKUP(A64,SRD!$AF$2:$AO$320,3,FALSE()),""))</f>
        <v/>
      </c>
      <c r="D64" s="7" t="str">
        <f aca="false">IF(A64="","",IFERROR(VLOOKUP(A64,SRD!$AF$2:$AO$320,8,FALSE()),""))</f>
        <v/>
      </c>
      <c r="E64" s="7" t="str">
        <f aca="false">IF(A64="","",IFERROR(VLOOKUP(A64,SRD!$AF$2:$AO$320,5,FALSE()),""))</f>
        <v/>
      </c>
      <c r="F64" s="7" t="str">
        <f aca="false">IF(A64="","",IFERROR(VLOOKUP(A64,SRD!$AF$2:$AO$320,9,FALSE()),""))</f>
        <v/>
      </c>
    </row>
    <row r="65" customFormat="false" ht="15" hidden="false" customHeight="false" outlineLevel="0" collapsed="false">
      <c r="A65" s="4"/>
      <c r="B65" s="7" t="str">
        <f aca="false">IF(A65="","",IFERROR(VLOOKUP(A65,SRD!$AF$2:$AO$320,2,FALSE()),""))</f>
        <v/>
      </c>
      <c r="C65" s="7" t="str">
        <f aca="false">IF(A65="","",IFERROR(VLOOKUP(A65,SRD!$AF$2:$AO$320,3,FALSE()),""))</f>
        <v/>
      </c>
      <c r="D65" s="7" t="str">
        <f aca="false">IF(A65="","",IFERROR(VLOOKUP(A65,SRD!$AF$2:$AO$320,8,FALSE()),""))</f>
        <v/>
      </c>
      <c r="E65" s="7" t="str">
        <f aca="false">IF(A65="","",IFERROR(VLOOKUP(A65,SRD!$AF$2:$AO$320,5,FALSE()),""))</f>
        <v/>
      </c>
      <c r="F65" s="7" t="str">
        <f aca="false">IF(A65="","",IFERROR(VLOOKUP(A65,SRD!$AF$2:$AO$320,9,FALSE()),""))</f>
        <v/>
      </c>
    </row>
    <row r="66" customFormat="false" ht="15" hidden="false" customHeight="false" outlineLevel="0" collapsed="false">
      <c r="A66" s="4"/>
      <c r="B66" s="7" t="str">
        <f aca="false">IF(A66="","",IFERROR(VLOOKUP(A66,SRD!$AF$2:$AO$320,2,FALSE()),""))</f>
        <v/>
      </c>
      <c r="C66" s="7" t="str">
        <f aca="false">IF(A66="","",IFERROR(VLOOKUP(A66,SRD!$AF$2:$AO$320,3,FALSE()),""))</f>
        <v/>
      </c>
      <c r="D66" s="7" t="str">
        <f aca="false">IF(A66="","",IFERROR(VLOOKUP(A66,SRD!$AF$2:$AO$320,8,FALSE()),""))</f>
        <v/>
      </c>
      <c r="E66" s="7" t="str">
        <f aca="false">IF(A66="","",IFERROR(VLOOKUP(A66,SRD!$AF$2:$AO$320,5,FALSE()),""))</f>
        <v/>
      </c>
      <c r="F66" s="7" t="str">
        <f aca="false">IF(A66="","",IFERROR(VLOOKUP(A66,SRD!$AF$2:$AO$320,9,FALSE()),""))</f>
        <v/>
      </c>
    </row>
    <row r="67" customFormat="false" ht="15" hidden="false" customHeight="false" outlineLevel="0" collapsed="false">
      <c r="A67" s="4"/>
      <c r="B67" s="7" t="str">
        <f aca="false">IF(A67="","",IFERROR(VLOOKUP(A67,SRD!$AF$2:$AO$320,2,FALSE()),""))</f>
        <v/>
      </c>
      <c r="C67" s="7" t="str">
        <f aca="false">IF(A67="","",IFERROR(VLOOKUP(A67,SRD!$AF$2:$AO$320,3,FALSE()),""))</f>
        <v/>
      </c>
      <c r="D67" s="7" t="str">
        <f aca="false">IF(A67="","",IFERROR(VLOOKUP(A67,SRD!$AF$2:$AO$320,8,FALSE()),""))</f>
        <v/>
      </c>
      <c r="E67" s="7" t="str">
        <f aca="false">IF(A67="","",IFERROR(VLOOKUP(A67,SRD!$AF$2:$AO$320,5,FALSE()),""))</f>
        <v/>
      </c>
      <c r="F67" s="7" t="str">
        <f aca="false">IF(A67="","",IFERROR(VLOOKUP(A67,SRD!$AF$2:$AO$320,9,FALSE()),""))</f>
        <v/>
      </c>
    </row>
    <row r="68" customFormat="false" ht="15" hidden="false" customHeight="false" outlineLevel="0" collapsed="false">
      <c r="A68" s="4"/>
      <c r="B68" s="7" t="str">
        <f aca="false">IF(A68="","",IFERROR(VLOOKUP(A68,SRD!$AF$2:$AO$320,2,FALSE()),""))</f>
        <v/>
      </c>
      <c r="C68" s="7" t="str">
        <f aca="false">IF(A68="","",IFERROR(VLOOKUP(A68,SRD!$AF$2:$AO$320,3,FALSE()),""))</f>
        <v/>
      </c>
      <c r="D68" s="7" t="str">
        <f aca="false">IF(A68="","",IFERROR(VLOOKUP(A68,SRD!$AF$2:$AO$320,8,FALSE()),""))</f>
        <v/>
      </c>
      <c r="E68" s="7" t="str">
        <f aca="false">IF(A68="","",IFERROR(VLOOKUP(A68,SRD!$AF$2:$AO$320,5,FALSE()),""))</f>
        <v/>
      </c>
      <c r="F68" s="7" t="str">
        <f aca="false">IF(A68="","",IFERROR(VLOOKUP(A68,SRD!$AF$2:$AO$320,9,FALSE()),""))</f>
        <v/>
      </c>
    </row>
    <row r="69" customFormat="false" ht="15" hidden="false" customHeight="false" outlineLevel="0" collapsed="false">
      <c r="A69" s="4"/>
      <c r="B69" s="7" t="str">
        <f aca="false">IF(A69="","",IFERROR(VLOOKUP(A69,SRD!$AF$2:$AO$320,2,FALSE()),""))</f>
        <v/>
      </c>
      <c r="C69" s="7" t="str">
        <f aca="false">IF(A69="","",IFERROR(VLOOKUP(A69,SRD!$AF$2:$AO$320,3,FALSE()),""))</f>
        <v/>
      </c>
      <c r="D69" s="7" t="str">
        <f aca="false">IF(A69="","",IFERROR(VLOOKUP(A69,SRD!$AF$2:$AO$320,8,FALSE()),""))</f>
        <v/>
      </c>
      <c r="E69" s="7" t="str">
        <f aca="false">IF(A69="","",IFERROR(VLOOKUP(A69,SRD!$AF$2:$AO$320,5,FALSE()),""))</f>
        <v/>
      </c>
      <c r="F69" s="7" t="str">
        <f aca="false">IF(A69="","",IFERROR(VLOOKUP(A69,SRD!$AF$2:$AO$320,9,FALSE()),""))</f>
        <v/>
      </c>
    </row>
    <row r="70" customFormat="false" ht="15" hidden="false" customHeight="false" outlineLevel="0" collapsed="false">
      <c r="A70" s="4"/>
      <c r="B70" s="7" t="str">
        <f aca="false">IF(A70="","",IFERROR(VLOOKUP(A70,SRD!$AF$2:$AO$320,2,FALSE()),""))</f>
        <v/>
      </c>
      <c r="C70" s="7" t="str">
        <f aca="false">IF(A70="","",IFERROR(VLOOKUP(A70,SRD!$AF$2:$AO$320,3,FALSE()),""))</f>
        <v/>
      </c>
      <c r="D70" s="7" t="str">
        <f aca="false">IF(A70="","",IFERROR(VLOOKUP(A70,SRD!$AF$2:$AO$320,8,FALSE()),""))</f>
        <v/>
      </c>
      <c r="E70" s="7" t="str">
        <f aca="false">IF(A70="","",IFERROR(VLOOKUP(A70,SRD!$AF$2:$AO$320,5,FALSE()),""))</f>
        <v/>
      </c>
      <c r="F70" s="7" t="str">
        <f aca="false">IF(A70="","",IFERROR(VLOOKUP(A70,SRD!$AF$2:$AO$320,9,FALSE()),""))</f>
        <v/>
      </c>
    </row>
    <row r="71" customFormat="false" ht="15" hidden="false" customHeight="false" outlineLevel="0" collapsed="false">
      <c r="A71" s="4"/>
      <c r="B71" s="7" t="str">
        <f aca="false">IF(A71="","",IFERROR(VLOOKUP(A71,SRD!$AF$2:$AO$320,2,FALSE()),""))</f>
        <v/>
      </c>
      <c r="C71" s="7" t="str">
        <f aca="false">IF(A71="","",IFERROR(VLOOKUP(A71,SRD!$AF$2:$AO$320,3,FALSE()),""))</f>
        <v/>
      </c>
      <c r="D71" s="7" t="str">
        <f aca="false">IF(A71="","",IFERROR(VLOOKUP(A71,SRD!$AF$2:$AO$320,8,FALSE()),""))</f>
        <v/>
      </c>
      <c r="E71" s="7" t="str">
        <f aca="false">IF(A71="","",IFERROR(VLOOKUP(A71,SRD!$AF$2:$AO$320,5,FALSE()),""))</f>
        <v/>
      </c>
      <c r="F71" s="7" t="str">
        <f aca="false">IF(A71="","",IFERROR(VLOOKUP(A71,SRD!$AF$2:$AO$320,9,FALSE()),""))</f>
        <v/>
      </c>
    </row>
    <row r="72" customFormat="false" ht="15" hidden="false" customHeight="false" outlineLevel="0" collapsed="false">
      <c r="A72" s="4"/>
      <c r="B72" s="7" t="str">
        <f aca="false">IF(A72="","",IFERROR(VLOOKUP(A72,SRD!$AF$2:$AO$320,2,FALSE()),""))</f>
        <v/>
      </c>
      <c r="C72" s="7" t="str">
        <f aca="false">IF(A72="","",IFERROR(VLOOKUP(A72,SRD!$AF$2:$AO$320,3,FALSE()),""))</f>
        <v/>
      </c>
      <c r="D72" s="7" t="str">
        <f aca="false">IF(A72="","",IFERROR(VLOOKUP(A72,SRD!$AF$2:$AO$320,8,FALSE()),""))</f>
        <v/>
      </c>
      <c r="E72" s="7" t="str">
        <f aca="false">IF(A72="","",IFERROR(VLOOKUP(A72,SRD!$AF$2:$AO$320,5,FALSE()),""))</f>
        <v/>
      </c>
      <c r="F72" s="7" t="str">
        <f aca="false">IF(A72="","",IFERROR(VLOOKUP(A72,SRD!$AF$2:$AO$320,9,FALSE()),""))</f>
        <v/>
      </c>
    </row>
    <row r="73" customFormat="false" ht="15" hidden="false" customHeight="false" outlineLevel="0" collapsed="false">
      <c r="A73" s="4"/>
      <c r="B73" s="7" t="str">
        <f aca="false">IF(A73="","",IFERROR(VLOOKUP(A73,SRD!$AF$2:$AO$320,2,FALSE()),""))</f>
        <v/>
      </c>
      <c r="C73" s="7" t="str">
        <f aca="false">IF(A73="","",IFERROR(VLOOKUP(A73,SRD!$AF$2:$AO$320,3,FALSE()),""))</f>
        <v/>
      </c>
      <c r="D73" s="7" t="str">
        <f aca="false">IF(A73="","",IFERROR(VLOOKUP(A73,SRD!$AF$2:$AO$320,8,FALSE()),""))</f>
        <v/>
      </c>
      <c r="E73" s="7" t="str">
        <f aca="false">IF(A73="","",IFERROR(VLOOKUP(A73,SRD!$AF$2:$AO$320,5,FALSE()),""))</f>
        <v/>
      </c>
      <c r="F73" s="7" t="str">
        <f aca="false">IF(A73="","",IFERROR(VLOOKUP(A73,SRD!$AF$2:$AO$320,9,FALSE()),""))</f>
        <v/>
      </c>
    </row>
    <row r="74" customFormat="false" ht="15" hidden="false" customHeight="false" outlineLevel="0" collapsed="false">
      <c r="A74" s="4"/>
      <c r="B74" s="7" t="str">
        <f aca="false">IF(A74="","",IFERROR(VLOOKUP(A74,SRD!$AF$2:$AO$320,2,FALSE()),""))</f>
        <v/>
      </c>
      <c r="C74" s="7" t="str">
        <f aca="false">IF(A74="","",IFERROR(VLOOKUP(A74,SRD!$AF$2:$AO$320,3,FALSE()),""))</f>
        <v/>
      </c>
      <c r="D74" s="7" t="str">
        <f aca="false">IF(A74="","",IFERROR(VLOOKUP(A74,SRD!$AF$2:$AO$320,8,FALSE()),""))</f>
        <v/>
      </c>
      <c r="E74" s="7" t="str">
        <f aca="false">IF(A74="","",IFERROR(VLOOKUP(A74,SRD!$AF$2:$AO$320,5,FALSE()),""))</f>
        <v/>
      </c>
      <c r="F74" s="7" t="str">
        <f aca="false">IF(A74="","",IFERROR(VLOOKUP(A74,SRD!$AF$2:$AO$320,9,FALSE()),""))</f>
        <v/>
      </c>
    </row>
    <row r="75" customFormat="false" ht="15" hidden="false" customHeight="false" outlineLevel="0" collapsed="false">
      <c r="A75" s="4"/>
      <c r="B75" s="7" t="str">
        <f aca="false">IF(A75="","",IFERROR(VLOOKUP(A75,SRD!$AF$2:$AO$320,2,FALSE()),""))</f>
        <v/>
      </c>
      <c r="C75" s="7" t="str">
        <f aca="false">IF(A75="","",IFERROR(VLOOKUP(A75,SRD!$AF$2:$AO$320,3,FALSE()),""))</f>
        <v/>
      </c>
      <c r="D75" s="7" t="str">
        <f aca="false">IF(A75="","",IFERROR(VLOOKUP(A75,SRD!$AF$2:$AO$320,8,FALSE()),""))</f>
        <v/>
      </c>
      <c r="E75" s="7" t="str">
        <f aca="false">IF(A75="","",IFERROR(VLOOKUP(A75,SRD!$AF$2:$AO$320,5,FALSE()),""))</f>
        <v/>
      </c>
      <c r="F75" s="7" t="str">
        <f aca="false">IF(A75="","",IFERROR(VLOOKUP(A75,SRD!$AF$2:$AO$320,9,FALSE()),""))</f>
        <v/>
      </c>
    </row>
    <row r="76" customFormat="false" ht="15" hidden="false" customHeight="false" outlineLevel="0" collapsed="false">
      <c r="A76" s="4"/>
      <c r="B76" s="7" t="str">
        <f aca="false">IF(A76="","",IFERROR(VLOOKUP(A76,SRD!$AF$2:$AO$320,2,FALSE()),""))</f>
        <v/>
      </c>
      <c r="C76" s="7" t="str">
        <f aca="false">IF(A76="","",IFERROR(VLOOKUP(A76,SRD!$AF$2:$AO$320,3,FALSE()),""))</f>
        <v/>
      </c>
      <c r="D76" s="7" t="str">
        <f aca="false">IF(A76="","",IFERROR(VLOOKUP(A76,SRD!$AF$2:$AO$320,8,FALSE()),""))</f>
        <v/>
      </c>
      <c r="E76" s="7" t="str">
        <f aca="false">IF(A76="","",IFERROR(VLOOKUP(A76,SRD!$AF$2:$AO$320,5,FALSE()),""))</f>
        <v/>
      </c>
      <c r="F76" s="7" t="str">
        <f aca="false">IF(A76="","",IFERROR(VLOOKUP(A76,SRD!$AF$2:$AO$320,9,FALSE()),""))</f>
        <v/>
      </c>
    </row>
    <row r="77" customFormat="false" ht="15" hidden="false" customHeight="false" outlineLevel="0" collapsed="false">
      <c r="A77" s="4"/>
      <c r="B77" s="7" t="str">
        <f aca="false">IF(A77="","",IFERROR(VLOOKUP(A77,SRD!$AF$2:$AO$320,2,FALSE()),""))</f>
        <v/>
      </c>
      <c r="C77" s="7" t="str">
        <f aca="false">IF(A77="","",IFERROR(VLOOKUP(A77,SRD!$AF$2:$AO$320,3,FALSE()),""))</f>
        <v/>
      </c>
      <c r="D77" s="7" t="str">
        <f aca="false">IF(A77="","",IFERROR(VLOOKUP(A77,SRD!$AF$2:$AO$320,8,FALSE()),""))</f>
        <v/>
      </c>
      <c r="E77" s="7" t="str">
        <f aca="false">IF(A77="","",IFERROR(VLOOKUP(A77,SRD!$AF$2:$AO$320,5,FALSE()),""))</f>
        <v/>
      </c>
      <c r="F77" s="7" t="str">
        <f aca="false">IF(A77="","",IFERROR(VLOOKUP(A77,SRD!$AF$2:$AO$320,9,FALSE()),""))</f>
        <v/>
      </c>
    </row>
    <row r="78" customFormat="false" ht="15" hidden="false" customHeight="false" outlineLevel="0" collapsed="false">
      <c r="A78" s="4"/>
      <c r="B78" s="7" t="str">
        <f aca="false">IF(A78="","",IFERROR(VLOOKUP(A78,SRD!$AF$2:$AO$320,2,FALSE()),""))</f>
        <v/>
      </c>
      <c r="C78" s="7" t="str">
        <f aca="false">IF(A78="","",IFERROR(VLOOKUP(A78,SRD!$AF$2:$AO$320,3,FALSE()),""))</f>
        <v/>
      </c>
      <c r="D78" s="7" t="str">
        <f aca="false">IF(A78="","",IFERROR(VLOOKUP(A78,SRD!$AF$2:$AO$320,8,FALSE()),""))</f>
        <v/>
      </c>
      <c r="E78" s="7" t="str">
        <f aca="false">IF(A78="","",IFERROR(VLOOKUP(A78,SRD!$AF$2:$AO$320,5,FALSE()),""))</f>
        <v/>
      </c>
      <c r="F78" s="7" t="str">
        <f aca="false">IF(A78="","",IFERROR(VLOOKUP(A78,SRD!$AF$2:$AO$320,9,FALSE()),""))</f>
        <v/>
      </c>
    </row>
    <row r="79" customFormat="false" ht="15" hidden="false" customHeight="false" outlineLevel="0" collapsed="false">
      <c r="A79" s="4"/>
      <c r="B79" s="7" t="str">
        <f aca="false">IF(A79="","",IFERROR(VLOOKUP(A79,SRD!$AF$2:$AO$320,2,FALSE()),""))</f>
        <v/>
      </c>
      <c r="C79" s="7" t="str">
        <f aca="false">IF(A79="","",IFERROR(VLOOKUP(A79,SRD!$AF$2:$AO$320,3,FALSE()),""))</f>
        <v/>
      </c>
      <c r="D79" s="7" t="str">
        <f aca="false">IF(A79="","",IFERROR(VLOOKUP(A79,SRD!$AF$2:$AO$320,8,FALSE()),""))</f>
        <v/>
      </c>
      <c r="E79" s="7" t="str">
        <f aca="false">IF(A79="","",IFERROR(VLOOKUP(A79,SRD!$AF$2:$AO$320,5,FALSE()),""))</f>
        <v/>
      </c>
      <c r="F79" s="7" t="str">
        <f aca="false">IF(A79="","",IFERROR(VLOOKUP(A79,SRD!$AF$2:$AO$320,9,FALSE()),""))</f>
        <v/>
      </c>
    </row>
    <row r="80" customFormat="false" ht="15" hidden="false" customHeight="false" outlineLevel="0" collapsed="false">
      <c r="A80" s="4"/>
      <c r="B80" s="7" t="str">
        <f aca="false">IF(A80="","",IFERROR(VLOOKUP(A80,SRD!$AF$2:$AO$320,2,FALSE()),""))</f>
        <v/>
      </c>
      <c r="C80" s="7" t="str">
        <f aca="false">IF(A80="","",IFERROR(VLOOKUP(A80,SRD!$AF$2:$AO$320,3,FALSE()),""))</f>
        <v/>
      </c>
      <c r="D80" s="7" t="str">
        <f aca="false">IF(A80="","",IFERROR(VLOOKUP(A80,SRD!$AF$2:$AO$320,8,FALSE()),""))</f>
        <v/>
      </c>
      <c r="E80" s="7" t="str">
        <f aca="false">IF(A80="","",IFERROR(VLOOKUP(A80,SRD!$AF$2:$AO$320,5,FALSE()),""))</f>
        <v/>
      </c>
      <c r="F80" s="7" t="str">
        <f aca="false">IF(A80="","",IFERROR(VLOOKUP(A80,SRD!$AF$2:$AO$320,9,FALSE()),""))</f>
        <v/>
      </c>
    </row>
    <row r="81" customFormat="false" ht="15" hidden="false" customHeight="false" outlineLevel="0" collapsed="false">
      <c r="A81" s="4"/>
      <c r="B81" s="7" t="str">
        <f aca="false">IF(A81="","",IFERROR(VLOOKUP(A81,SRD!$AF$2:$AO$320,2,FALSE()),""))</f>
        <v/>
      </c>
      <c r="C81" s="7" t="str">
        <f aca="false">IF(A81="","",IFERROR(VLOOKUP(A81,SRD!$AF$2:$AO$320,3,FALSE()),""))</f>
        <v/>
      </c>
      <c r="D81" s="7" t="str">
        <f aca="false">IF(A81="","",IFERROR(VLOOKUP(A81,SRD!$AF$2:$AO$320,8,FALSE()),""))</f>
        <v/>
      </c>
      <c r="E81" s="7" t="str">
        <f aca="false">IF(A81="","",IFERROR(VLOOKUP(A81,SRD!$AF$2:$AO$320,5,FALSE()),""))</f>
        <v/>
      </c>
      <c r="F81" s="7" t="str">
        <f aca="false">IF(A81="","",IFERROR(VLOOKUP(A81,SRD!$AF$2:$AO$320,9,FALSE()),""))</f>
        <v/>
      </c>
    </row>
    <row r="82" customFormat="false" ht="15" hidden="false" customHeight="false" outlineLevel="0" collapsed="false">
      <c r="A82" s="4"/>
      <c r="B82" s="7" t="str">
        <f aca="false">IF(A82="","",IFERROR(VLOOKUP(A82,SRD!$AF$2:$AO$320,2,FALSE()),""))</f>
        <v/>
      </c>
      <c r="C82" s="7" t="str">
        <f aca="false">IF(A82="","",IFERROR(VLOOKUP(A82,SRD!$AF$2:$AO$320,3,FALSE()),""))</f>
        <v/>
      </c>
      <c r="D82" s="7" t="str">
        <f aca="false">IF(A82="","",IFERROR(VLOOKUP(A82,SRD!$AF$2:$AO$320,8,FALSE()),""))</f>
        <v/>
      </c>
      <c r="E82" s="7" t="str">
        <f aca="false">IF(A82="","",IFERROR(VLOOKUP(A82,SRD!$AF$2:$AO$320,5,FALSE()),""))</f>
        <v/>
      </c>
      <c r="F82" s="7" t="str">
        <f aca="false">IF(A82="","",IFERROR(VLOOKUP(A82,SRD!$AF$2:$AO$320,9,FALSE()),""))</f>
        <v/>
      </c>
    </row>
    <row r="83" customFormat="false" ht="15" hidden="false" customHeight="false" outlineLevel="0" collapsed="false">
      <c r="A83" s="4"/>
      <c r="B83" s="7" t="str">
        <f aca="false">IF(A83="","",IFERROR(VLOOKUP(A83,SRD!$AF$2:$AO$320,2,FALSE()),""))</f>
        <v/>
      </c>
      <c r="C83" s="7" t="str">
        <f aca="false">IF(A83="","",IFERROR(VLOOKUP(A83,SRD!$AF$2:$AO$320,3,FALSE()),""))</f>
        <v/>
      </c>
      <c r="D83" s="7" t="str">
        <f aca="false">IF(A83="","",IFERROR(VLOOKUP(A83,SRD!$AF$2:$AO$320,8,FALSE()),""))</f>
        <v/>
      </c>
      <c r="E83" s="7" t="str">
        <f aca="false">IF(A83="","",IFERROR(VLOOKUP(A83,SRD!$AF$2:$AO$320,5,FALSE()),""))</f>
        <v/>
      </c>
      <c r="F83" s="7" t="str">
        <f aca="false">IF(A83="","",IFERROR(VLOOKUP(A83,SRD!$AF$2:$AO$320,9,FALSE()),""))</f>
        <v/>
      </c>
    </row>
    <row r="84" customFormat="false" ht="15" hidden="false" customHeight="false" outlineLevel="0" collapsed="false">
      <c r="A84" s="4"/>
      <c r="B84" s="7" t="str">
        <f aca="false">IF(A84="","",IFERROR(VLOOKUP(A84,SRD!$AF$2:$AO$320,2,FALSE()),""))</f>
        <v/>
      </c>
      <c r="C84" s="7" t="str">
        <f aca="false">IF(A84="","",IFERROR(VLOOKUP(A84,SRD!$AF$2:$AO$320,3,FALSE()),""))</f>
        <v/>
      </c>
      <c r="D84" s="7" t="str">
        <f aca="false">IF(A84="","",IFERROR(VLOOKUP(A84,SRD!$AF$2:$AO$320,8,FALSE()),""))</f>
        <v/>
      </c>
      <c r="E84" s="7" t="str">
        <f aca="false">IF(A84="","",IFERROR(VLOOKUP(A84,SRD!$AF$2:$AO$320,5,FALSE()),""))</f>
        <v/>
      </c>
      <c r="F84" s="7" t="str">
        <f aca="false">IF(A84="","",IFERROR(VLOOKUP(A84,SRD!$AF$2:$AO$320,9,FALSE()),""))</f>
        <v/>
      </c>
    </row>
    <row r="85" customFormat="false" ht="15" hidden="false" customHeight="false" outlineLevel="0" collapsed="false">
      <c r="A85" s="4"/>
      <c r="B85" s="7" t="str">
        <f aca="false">IF(A85="","",IFERROR(VLOOKUP(A85,SRD!$AF$2:$AO$320,2,FALSE()),""))</f>
        <v/>
      </c>
      <c r="C85" s="7" t="str">
        <f aca="false">IF(A85="","",IFERROR(VLOOKUP(A85,SRD!$AF$2:$AO$320,3,FALSE()),""))</f>
        <v/>
      </c>
      <c r="D85" s="7" t="str">
        <f aca="false">IF(A85="","",IFERROR(VLOOKUP(A85,SRD!$AF$2:$AO$320,8,FALSE()),""))</f>
        <v/>
      </c>
      <c r="E85" s="7" t="str">
        <f aca="false">IF(A85="","",IFERROR(VLOOKUP(A85,SRD!$AF$2:$AO$320,5,FALSE()),""))</f>
        <v/>
      </c>
      <c r="F85" s="7" t="str">
        <f aca="false">IF(A85="","",IFERROR(VLOOKUP(A85,SRD!$AF$2:$AO$320,9,FALSE()),""))</f>
        <v/>
      </c>
    </row>
    <row r="86" customFormat="false" ht="15" hidden="false" customHeight="false" outlineLevel="0" collapsed="false">
      <c r="A86" s="4"/>
      <c r="B86" s="7" t="str">
        <f aca="false">IF(A86="","",IFERROR(VLOOKUP(A86,SRD!$AF$2:$AO$320,2,FALSE()),""))</f>
        <v/>
      </c>
      <c r="C86" s="7" t="str">
        <f aca="false">IF(A86="","",IFERROR(VLOOKUP(A86,SRD!$AF$2:$AO$320,3,FALSE()),""))</f>
        <v/>
      </c>
      <c r="D86" s="7" t="str">
        <f aca="false">IF(A86="","",IFERROR(VLOOKUP(A86,SRD!$AF$2:$AO$320,8,FALSE()),""))</f>
        <v/>
      </c>
      <c r="E86" s="7" t="str">
        <f aca="false">IF(A86="","",IFERROR(VLOOKUP(A86,SRD!$AF$2:$AO$320,5,FALSE()),""))</f>
        <v/>
      </c>
      <c r="F86" s="7" t="str">
        <f aca="false">IF(A86="","",IFERROR(VLOOKUP(A86,SRD!$AF$2:$AO$320,9,FALSE()),""))</f>
        <v/>
      </c>
    </row>
    <row r="87" customFormat="false" ht="15" hidden="false" customHeight="false" outlineLevel="0" collapsed="false">
      <c r="A87" s="4"/>
      <c r="B87" s="7" t="str">
        <f aca="false">IF(A87="","",IFERROR(VLOOKUP(A87,SRD!$AF$2:$AO$320,2,FALSE()),""))</f>
        <v/>
      </c>
      <c r="C87" s="7" t="str">
        <f aca="false">IF(A87="","",IFERROR(VLOOKUP(A87,SRD!$AF$2:$AO$320,3,FALSE()),""))</f>
        <v/>
      </c>
      <c r="D87" s="7" t="str">
        <f aca="false">IF(A87="","",IFERROR(VLOOKUP(A87,SRD!$AF$2:$AO$320,8,FALSE()),""))</f>
        <v/>
      </c>
      <c r="E87" s="7" t="str">
        <f aca="false">IF(A87="","",IFERROR(VLOOKUP(A87,SRD!$AF$2:$AO$320,5,FALSE()),""))</f>
        <v/>
      </c>
      <c r="F87" s="7" t="str">
        <f aca="false">IF(A87="","",IFERROR(VLOOKUP(A87,SRD!$AF$2:$AO$320,9,FALSE()),""))</f>
        <v/>
      </c>
    </row>
    <row r="88" customFormat="false" ht="15" hidden="false" customHeight="false" outlineLevel="0" collapsed="false">
      <c r="A88" s="4"/>
      <c r="B88" s="7" t="str">
        <f aca="false">IF(A88="","",IFERROR(VLOOKUP(A88,SRD!$AF$2:$AO$320,2,FALSE()),""))</f>
        <v/>
      </c>
      <c r="C88" s="7" t="str">
        <f aca="false">IF(A88="","",IFERROR(VLOOKUP(A88,SRD!$AF$2:$AO$320,3,FALSE()),""))</f>
        <v/>
      </c>
      <c r="D88" s="7" t="str">
        <f aca="false">IF(A88="","",IFERROR(VLOOKUP(A88,SRD!$AF$2:$AO$320,8,FALSE()),""))</f>
        <v/>
      </c>
      <c r="E88" s="7" t="str">
        <f aca="false">IF(A88="","",IFERROR(VLOOKUP(A88,SRD!$AF$2:$AO$320,5,FALSE()),""))</f>
        <v/>
      </c>
      <c r="F88" s="7" t="str">
        <f aca="false">IF(A88="","",IFERROR(VLOOKUP(A88,SRD!$AF$2:$AO$320,9,FALSE()),""))</f>
        <v/>
      </c>
    </row>
  </sheetData>
  <dataValidations count="6">
    <dataValidation allowBlank="true" errorStyle="stop" operator="between" showDropDown="false" showErrorMessage="true" showInputMessage="false" sqref="C4" type="list">
      <formula1>SRD!$BA$2:$BA$7</formula1>
      <formula2>0</formula2>
    </dataValidation>
    <dataValidation allowBlank="true" errorStyle="stop" operator="between" showDropDown="false" showErrorMessage="true" showInputMessage="false" sqref="G10:G17" type="list">
      <formula1>SRD!$AW$2:$AW$3</formula1>
      <formula2>0</formula2>
    </dataValidation>
    <dataValidation allowBlank="true" errorStyle="stop" operator="between" showDropDown="false" showErrorMessage="false" showInputMessage="false" sqref="H10:H17" type="list">
      <formula1>SRD!$BF$2:$BF$5</formula1>
      <formula2>0</formula2>
    </dataValidation>
    <dataValidation allowBlank="true" errorStyle="stop" operator="between" showDropDown="false" showErrorMessage="false" showInputMessage="false" sqref="A23:A32" type="list">
      <formula1>SRD!$AF$2:$AF$25</formula1>
      <formula2>0</formula2>
    </dataValidation>
    <dataValidation allowBlank="true" errorStyle="stop" operator="between" showDropDown="false" showErrorMessage="false" showInputMessage="false" sqref="A36:A45" type="list">
      <formula1>SRD!$AF$2:$AF$320</formula1>
      <formula2>0</formula2>
    </dataValidation>
    <dataValidation allowBlank="true" errorStyle="stop" operator="between" showDropDown="false" showErrorMessage="false" showInputMessage="false" sqref="A49:A88" type="list">
      <formula1>SRD!$AF$2:$AF$320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15" hidden="false" customHeight="false" outlineLevel="0" collapsed="false">
      <c r="A4" s="3" t="s">
        <v>109</v>
      </c>
    </row>
    <row r="5" customFormat="false" ht="15" hidden="false" customHeight="false" outlineLevel="0" collapsed="false">
      <c r="A5" s="5" t="s">
        <v>94</v>
      </c>
      <c r="B5" s="5" t="s">
        <v>8</v>
      </c>
      <c r="C5" s="5" t="s">
        <v>110</v>
      </c>
    </row>
    <row r="6" customFormat="false" ht="15" hidden="false" customHeight="false" outlineLevel="0" collapsed="false">
      <c r="A6" s="4"/>
      <c r="B6" s="4"/>
      <c r="C6" s="9"/>
    </row>
    <row r="7" customFormat="false" ht="15" hidden="false" customHeight="false" outlineLevel="0" collapsed="false">
      <c r="A7" s="4"/>
      <c r="B7" s="4"/>
      <c r="C7" s="9"/>
    </row>
    <row r="8" customFormat="false" ht="15" hidden="false" customHeight="false" outlineLevel="0" collapsed="false">
      <c r="A8" s="4"/>
      <c r="B8" s="4"/>
      <c r="C8" s="9"/>
    </row>
    <row r="9" customFormat="false" ht="15" hidden="false" customHeight="false" outlineLevel="0" collapsed="false">
      <c r="A9" s="4"/>
      <c r="B9" s="4"/>
      <c r="C9" s="9"/>
    </row>
    <row r="10" customFormat="false" ht="15" hidden="false" customHeight="false" outlineLevel="0" collapsed="false">
      <c r="A10" s="4"/>
      <c r="B10" s="4"/>
      <c r="C10" s="9"/>
    </row>
    <row r="11" customFormat="false" ht="15" hidden="false" customHeight="false" outlineLevel="0" collapsed="false">
      <c r="A11" s="4"/>
      <c r="B11" s="4"/>
      <c r="C11" s="9"/>
    </row>
    <row r="12" customFormat="false" ht="15" hidden="false" customHeight="false" outlineLevel="0" collapsed="false">
      <c r="A12" s="4"/>
      <c r="B12" s="4"/>
      <c r="C12" s="9"/>
    </row>
    <row r="13" customFormat="false" ht="15" hidden="false" customHeight="false" outlineLevel="0" collapsed="false">
      <c r="A13" s="4"/>
      <c r="B13" s="4"/>
      <c r="C13" s="9"/>
    </row>
    <row r="14" customFormat="false" ht="15" hidden="false" customHeight="false" outlineLevel="0" collapsed="false">
      <c r="A14" s="4"/>
      <c r="B14" s="4"/>
      <c r="C14" s="9"/>
    </row>
    <row r="15" customFormat="false" ht="15" hidden="false" customHeight="false" outlineLevel="0" collapsed="false">
      <c r="A15" s="4"/>
      <c r="B15" s="4"/>
      <c r="C15" s="9"/>
    </row>
    <row r="16" customFormat="false" ht="15" hidden="false" customHeight="false" outlineLevel="0" collapsed="false">
      <c r="A16" s="4"/>
      <c r="B16" s="4"/>
      <c r="C16" s="9"/>
    </row>
    <row r="17" customFormat="false" ht="15" hidden="false" customHeight="false" outlineLevel="0" collapsed="false">
      <c r="A17" s="4"/>
      <c r="B17" s="4"/>
      <c r="C17" s="9"/>
    </row>
    <row r="18" customFormat="false" ht="15" hidden="false" customHeight="false" outlineLevel="0" collapsed="false">
      <c r="A18" s="4"/>
      <c r="B18" s="4"/>
      <c r="C18" s="9"/>
    </row>
    <row r="19" customFormat="false" ht="15" hidden="false" customHeight="false" outlineLevel="0" collapsed="false">
      <c r="A19" s="4"/>
      <c r="B19" s="4"/>
      <c r="C19" s="9"/>
    </row>
    <row r="20" customFormat="false" ht="15" hidden="false" customHeight="false" outlineLevel="0" collapsed="false">
      <c r="A20" s="4"/>
      <c r="B20" s="4"/>
      <c r="C20" s="9"/>
    </row>
    <row r="21" customFormat="false" ht="15" hidden="false" customHeight="false" outlineLevel="0" collapsed="false">
      <c r="A21" s="4"/>
      <c r="B21" s="4"/>
      <c r="C21" s="9"/>
    </row>
    <row r="22" customFormat="false" ht="15" hidden="false" customHeight="false" outlineLevel="0" collapsed="false">
      <c r="A22" s="4"/>
      <c r="B22" s="4"/>
      <c r="C22" s="9"/>
    </row>
    <row r="23" customFormat="false" ht="15" hidden="false" customHeight="false" outlineLevel="0" collapsed="false">
      <c r="A23" s="4"/>
      <c r="B23" s="4"/>
      <c r="C23" s="9"/>
    </row>
    <row r="24" customFormat="false" ht="15" hidden="false" customHeight="false" outlineLevel="0" collapsed="false">
      <c r="A24" s="4"/>
      <c r="B24" s="4"/>
      <c r="C24" s="9"/>
    </row>
    <row r="25" customFormat="false" ht="15" hidden="false" customHeight="false" outlineLevel="0" collapsed="false">
      <c r="A25" s="4"/>
      <c r="B25" s="4"/>
      <c r="C25" s="9"/>
    </row>
    <row r="28" customFormat="false" ht="15" hidden="false" customHeight="false" outlineLevel="0" collapsed="false">
      <c r="A28" s="3" t="s">
        <v>111</v>
      </c>
    </row>
    <row r="29" customFormat="false" ht="15" hidden="false" customHeight="false" outlineLevel="0" collapsed="false">
      <c r="A29" s="5" t="s">
        <v>94</v>
      </c>
      <c r="B29" s="5" t="s">
        <v>8</v>
      </c>
      <c r="C29" s="5" t="s">
        <v>110</v>
      </c>
    </row>
    <row r="30" customFormat="false" ht="15" hidden="false" customHeight="false" outlineLevel="0" collapsed="false">
      <c r="A30" s="4"/>
      <c r="B30" s="4"/>
      <c r="C30" s="9"/>
    </row>
    <row r="31" customFormat="false" ht="15" hidden="false" customHeight="false" outlineLevel="0" collapsed="false">
      <c r="A31" s="4"/>
      <c r="B31" s="4"/>
      <c r="C31" s="9"/>
    </row>
    <row r="32" customFormat="false" ht="15" hidden="false" customHeight="false" outlineLevel="0" collapsed="false">
      <c r="A32" s="4"/>
      <c r="B32" s="4"/>
      <c r="C32" s="9"/>
    </row>
    <row r="33" customFormat="false" ht="15" hidden="false" customHeight="false" outlineLevel="0" collapsed="false">
      <c r="A33" s="4"/>
      <c r="B33" s="4"/>
      <c r="C33" s="9"/>
    </row>
    <row r="34" customFormat="false" ht="15" hidden="false" customHeight="false" outlineLevel="0" collapsed="false">
      <c r="A34" s="4"/>
      <c r="B34" s="4"/>
      <c r="C34" s="9"/>
    </row>
    <row r="35" customFormat="false" ht="15" hidden="false" customHeight="false" outlineLevel="0" collapsed="false">
      <c r="A35" s="4"/>
      <c r="B35" s="4"/>
      <c r="C35" s="9"/>
    </row>
    <row r="36" customFormat="false" ht="15" hidden="false" customHeight="false" outlineLevel="0" collapsed="false">
      <c r="A36" s="4"/>
      <c r="B36" s="4"/>
      <c r="C36" s="9"/>
    </row>
    <row r="37" customFormat="false" ht="15" hidden="false" customHeight="false" outlineLevel="0" collapsed="false">
      <c r="A37" s="4"/>
      <c r="B37" s="4"/>
      <c r="C37" s="9"/>
    </row>
    <row r="38" customFormat="false" ht="15" hidden="false" customHeight="false" outlineLevel="0" collapsed="false">
      <c r="A38" s="4"/>
      <c r="B38" s="4"/>
      <c r="C38" s="9"/>
    </row>
    <row r="39" customFormat="false" ht="15" hidden="false" customHeight="false" outlineLevel="0" collapsed="false">
      <c r="A39" s="4"/>
      <c r="B39" s="4"/>
      <c r="C39" s="9"/>
    </row>
    <row r="42" customFormat="false" ht="15" hidden="false" customHeight="false" outlineLevel="0" collapsed="false">
      <c r="A42" s="3" t="s">
        <v>112</v>
      </c>
    </row>
    <row r="43" customFormat="false" ht="15" hidden="false" customHeight="false" outlineLevel="0" collapsed="false">
      <c r="A43" s="5" t="s">
        <v>94</v>
      </c>
      <c r="B43" s="5" t="s">
        <v>8</v>
      </c>
      <c r="C43" s="5" t="s">
        <v>110</v>
      </c>
    </row>
    <row r="44" customFormat="false" ht="15" hidden="false" customHeight="false" outlineLevel="0" collapsed="false">
      <c r="A44" s="4"/>
      <c r="B44" s="4"/>
      <c r="C44" s="9"/>
    </row>
    <row r="45" customFormat="false" ht="15" hidden="false" customHeight="false" outlineLevel="0" collapsed="false">
      <c r="A45" s="4"/>
      <c r="B45" s="4"/>
      <c r="C45" s="9"/>
    </row>
    <row r="46" customFormat="false" ht="15" hidden="false" customHeight="false" outlineLevel="0" collapsed="false">
      <c r="A46" s="4"/>
      <c r="B46" s="4"/>
      <c r="C46" s="9"/>
    </row>
    <row r="47" customFormat="false" ht="15" hidden="false" customHeight="false" outlineLevel="0" collapsed="false">
      <c r="A47" s="4"/>
      <c r="B47" s="4"/>
      <c r="C47" s="9"/>
    </row>
    <row r="48" customFormat="false" ht="15" hidden="false" customHeight="false" outlineLevel="0" collapsed="false">
      <c r="A48" s="4"/>
      <c r="B48" s="4"/>
      <c r="C48" s="9"/>
    </row>
    <row r="49" customFormat="false" ht="15" hidden="false" customHeight="false" outlineLevel="0" collapsed="false">
      <c r="A49" s="4"/>
      <c r="B49" s="4"/>
      <c r="C49" s="9"/>
    </row>
    <row r="50" customFormat="false" ht="15" hidden="false" customHeight="false" outlineLevel="0" collapsed="false">
      <c r="A50" s="4"/>
      <c r="B50" s="4"/>
      <c r="C50" s="9"/>
    </row>
    <row r="51" customFormat="false" ht="15" hidden="false" customHeight="false" outlineLevel="0" collapsed="false">
      <c r="A51" s="4"/>
      <c r="B51" s="4"/>
      <c r="C51" s="9"/>
    </row>
    <row r="54" customFormat="false" ht="15" hidden="false" customHeight="false" outlineLevel="0" collapsed="false">
      <c r="A54" s="3" t="s">
        <v>113</v>
      </c>
    </row>
    <row r="55" customFormat="false" ht="15" hidden="false" customHeight="false" outlineLevel="0" collapsed="false">
      <c r="A55" s="5" t="s">
        <v>94</v>
      </c>
      <c r="B55" s="5"/>
      <c r="C55" s="5" t="s">
        <v>110</v>
      </c>
    </row>
    <row r="56" customFormat="false" ht="15" hidden="false" customHeight="false" outlineLevel="0" collapsed="false">
      <c r="A56" s="4"/>
      <c r="C56" s="9"/>
    </row>
    <row r="57" customFormat="false" ht="15" hidden="false" customHeight="false" outlineLevel="0" collapsed="false">
      <c r="A57" s="4"/>
      <c r="C57" s="9"/>
    </row>
    <row r="58" customFormat="false" ht="15" hidden="false" customHeight="false" outlineLevel="0" collapsed="false">
      <c r="A58" s="4"/>
      <c r="C58" s="9"/>
    </row>
    <row r="59" customFormat="false" ht="15" hidden="false" customHeight="false" outlineLevel="0" collapsed="false">
      <c r="A59" s="4"/>
      <c r="C59" s="9"/>
    </row>
    <row r="62" customFormat="false" ht="15" hidden="false" customHeight="false" outlineLevel="0" collapsed="false">
      <c r="A62" s="3" t="s">
        <v>114</v>
      </c>
    </row>
    <row r="63" customFormat="false" ht="15" hidden="false" customHeight="false" outlineLevel="0" collapsed="false">
      <c r="A63" s="5" t="s">
        <v>94</v>
      </c>
      <c r="B63" s="5" t="s">
        <v>8</v>
      </c>
      <c r="C63" s="5" t="s">
        <v>110</v>
      </c>
    </row>
    <row r="64" customFormat="false" ht="15" hidden="false" customHeight="false" outlineLevel="0" collapsed="false">
      <c r="A64" s="4"/>
      <c r="B64" s="4"/>
      <c r="C64" s="9"/>
    </row>
    <row r="65" customFormat="false" ht="15" hidden="false" customHeight="false" outlineLevel="0" collapsed="false">
      <c r="A65" s="4"/>
      <c r="B65" s="4"/>
      <c r="C65" s="9"/>
    </row>
    <row r="66" customFormat="false" ht="15" hidden="false" customHeight="false" outlineLevel="0" collapsed="false">
      <c r="A66" s="4"/>
      <c r="B66" s="4"/>
      <c r="C66" s="9"/>
    </row>
    <row r="67" customFormat="false" ht="15" hidden="false" customHeight="false" outlineLevel="0" collapsed="false">
      <c r="A67" s="4"/>
      <c r="B67" s="4"/>
      <c r="C67" s="9"/>
    </row>
    <row r="68" customFormat="false" ht="15" hidden="false" customHeight="false" outlineLevel="0" collapsed="false">
      <c r="A68" s="4"/>
      <c r="B68" s="4"/>
      <c r="C68" s="9"/>
    </row>
    <row r="69" customFormat="false" ht="15" hidden="false" customHeight="false" outlineLevel="0" collapsed="false">
      <c r="A69" s="4"/>
      <c r="B69" s="4"/>
      <c r="C69" s="9"/>
    </row>
    <row r="70" customFormat="false" ht="15" hidden="false" customHeight="false" outlineLevel="0" collapsed="false">
      <c r="A70" s="4"/>
      <c r="B70" s="4"/>
      <c r="C70" s="9"/>
    </row>
    <row r="71" customFormat="false" ht="15" hidden="false" customHeight="false" outlineLevel="0" collapsed="false">
      <c r="A71" s="4"/>
      <c r="B71" s="4"/>
      <c r="C71" s="9"/>
    </row>
    <row r="72" customFormat="false" ht="15" hidden="false" customHeight="false" outlineLevel="0" collapsed="false">
      <c r="A72" s="4"/>
      <c r="B72" s="4"/>
      <c r="C72" s="9"/>
    </row>
    <row r="73" customFormat="false" ht="15" hidden="false" customHeight="false" outlineLevel="0" collapsed="false">
      <c r="A73" s="4"/>
      <c r="B73" s="4"/>
      <c r="C73" s="9"/>
    </row>
    <row r="74" customFormat="false" ht="15" hidden="false" customHeight="false" outlineLevel="0" collapsed="false">
      <c r="A74" s="4"/>
      <c r="B74" s="4"/>
      <c r="C74" s="9"/>
    </row>
    <row r="75" customFormat="false" ht="15" hidden="false" customHeight="false" outlineLevel="0" collapsed="false">
      <c r="A75" s="4"/>
      <c r="B75" s="4"/>
      <c r="C75" s="9"/>
    </row>
  </sheetData>
  <dataValidations count="1">
    <dataValidation allowBlank="true" errorStyle="stop" operator="between" showDropDown="false" showErrorMessage="false" showInputMessage="false" sqref="A44:A51" type="list">
      <formula1>SRD!$BD$2:$BD$2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34"/>
  </cols>
  <sheetData>
    <row r="1" customFormat="false" ht="19.7" hidden="false" customHeight="false" outlineLevel="0" collapsed="false">
      <c r="A1" s="1" t="s">
        <v>115</v>
      </c>
    </row>
    <row r="3" customFormat="false" ht="15" hidden="false" customHeight="false" outlineLevel="0" collapsed="false">
      <c r="A3" s="5" t="s">
        <v>116</v>
      </c>
      <c r="B3" s="5" t="s">
        <v>117</v>
      </c>
      <c r="C3" s="5" t="s">
        <v>118</v>
      </c>
      <c r="D3" s="5" t="s">
        <v>119</v>
      </c>
      <c r="E3" s="5" t="s">
        <v>120</v>
      </c>
    </row>
    <row r="4" customFormat="false" ht="15" hidden="false" customHeight="false" outlineLevel="0" collapsed="false">
      <c r="A4" s="4"/>
      <c r="B4" s="7" t="str">
        <f aca="false">IF(OR($A$4="",$D$4="No"),"",IFERROR(VLOOKUP($A$4,SRD!$Q$2:$V$13,3,FALSE()),""))</f>
        <v/>
      </c>
      <c r="C4" s="7" t="str">
        <f aca="false">IF(OR($A$4="",$D$4="No"),"",IFERROR(VLOOKUP($A$4,SRD!$Q$2:$V$13,4,FALSE()),""))</f>
        <v/>
      </c>
      <c r="D4" s="4" t="s">
        <v>121</v>
      </c>
      <c r="E4" s="4" t="s">
        <v>122</v>
      </c>
      <c r="F4" s="2" t="s">
        <v>123</v>
      </c>
    </row>
    <row r="6" customFormat="false" ht="15" hidden="false" customHeight="false" outlineLevel="0" collapsed="false">
      <c r="A6" s="5" t="s">
        <v>124</v>
      </c>
      <c r="B6" s="5" t="s">
        <v>125</v>
      </c>
      <c r="C6" s="5"/>
      <c r="D6" s="5" t="s">
        <v>119</v>
      </c>
      <c r="E6" s="5" t="s">
        <v>120</v>
      </c>
    </row>
    <row r="7" customFormat="false" ht="15" hidden="false" customHeight="false" outlineLevel="0" collapsed="false">
      <c r="A7" s="3" t="s">
        <v>124</v>
      </c>
      <c r="B7" s="7" t="n">
        <f aca="false">IF($D$7="Yes",2,0)</f>
        <v>0</v>
      </c>
      <c r="D7" s="4" t="s">
        <v>122</v>
      </c>
      <c r="E7" s="4" t="s">
        <v>122</v>
      </c>
    </row>
    <row r="9" customFormat="false" ht="15" hidden="false" customHeight="false" outlineLevel="0" collapsed="false">
      <c r="A9" s="3" t="s">
        <v>126</v>
      </c>
    </row>
    <row r="10" customFormat="false" ht="15" hidden="false" customHeight="false" outlineLevel="0" collapsed="false">
      <c r="A10" s="5" t="s">
        <v>127</v>
      </c>
      <c r="B10" s="5" t="s">
        <v>128</v>
      </c>
      <c r="C10" s="5" t="s">
        <v>129</v>
      </c>
      <c r="D10" s="5" t="s">
        <v>130</v>
      </c>
      <c r="E10" s="5" t="s">
        <v>131</v>
      </c>
      <c r="F10" s="5" t="s">
        <v>132</v>
      </c>
      <c r="G10" s="5" t="s">
        <v>133</v>
      </c>
      <c r="H10" s="5" t="s">
        <v>134</v>
      </c>
    </row>
    <row r="11" customFormat="false" ht="15" hidden="false" customHeight="false" outlineLevel="0" collapsed="false">
      <c r="A11" s="4"/>
      <c r="B11" s="4"/>
      <c r="C11" s="4"/>
      <c r="D11" s="8" t="str">
        <f aca="false">IF(A11="","",IF(IFERROR(VLOOKUP(A11,SRD!$X$2:$AD$38,6,FALSE()),"STR")="FIN",MAX(N(Character!$D$19),N(Character!$D$20)),IF(IFERROR(VLOOKUP(A11,SRD!$X$2:$AD$38,6,FALSE()),"STR")="DEX",N(Character!$D$20),N(Character!$D$19)))+IF(B11="Yes",N(Character!$D$28),0)+N(C11))</f>
        <v/>
      </c>
      <c r="E11" s="7" t="str">
        <f aca="false">IF(OR(A11="",IFERROR(VLOOKUP(A11,SRD!$X$2:$AD$38,3,FALSE()),"")=""),"",IFERROR(VLOOKUP(A11,SRD!$X$2:$AD$38,3,FALSE()),"")&amp;IF((IF(IFERROR(VLOOKUP(A11,SRD!$X$2:$AD$38,6,FALSE()),"STR")="FIN",MAX(N(Character!$D$19),N(Character!$D$20)),IF(IFERROR(VLOOKUP(A11,SRD!$X$2:$AD$38,6,FALSE()),"STR")="DEX",N(Character!$D$20),N(Character!$D$19)))+N(C11))=0,"",IF((IF(IFERROR(VLOOKUP(A11,SRD!$X$2:$AD$38,6,FALSE()),"STR")="FIN",MAX(N(Character!$D$19),N(Character!$D$20)),IF(IFERROR(VLOOKUP(A11,SRD!$X$2:$AD$38,6,FALSE()),"STR")="DEX",N(Character!$D$20),N(Character!$D$19)))+N(C11))&gt;0,"+"&amp;(IF(IFERROR(VLOOKUP(A11,SRD!$X$2:$AD$38,6,FALSE()),"STR")="FIN",MAX(N(Character!$D$19),N(Character!$D$20)),IF(IFERROR(VLOOKUP(A11,SRD!$X$2:$AD$38,6,FALSE()),"STR")="DEX",N(Character!$D$20),N(Character!$D$19)))+N(C11)),""&amp;(IF(IFERROR(VLOOKUP(A11,SRD!$X$2:$AD$38,6,FALSE()),"STR")="FIN",MAX(N(Character!$D$19),N(Character!$D$20)),IF(IFERROR(VLOOKUP(A11,SRD!$X$2:$AD$38,6,FALSE()),"STR")="DEX",N(Character!$D$20),N(Character!$D$19)))+N(C11)))))</f>
        <v/>
      </c>
      <c r="F11" s="7" t="str">
        <f aca="false">IF(A11="","",IFERROR(VLOOKUP(A11,SRD!$X$2:$AD$38,4,FALSE()),""))</f>
        <v/>
      </c>
      <c r="G11" s="7" t="str">
        <f aca="false">IF(A11="","",IFERROR(VLOOKUP(A11,SRD!$X$2:$AD$38,5,FALSE()),""))</f>
        <v/>
      </c>
      <c r="H11" s="4"/>
    </row>
    <row r="12" customFormat="false" ht="15" hidden="false" customHeight="false" outlineLevel="0" collapsed="false">
      <c r="A12" s="4"/>
      <c r="B12" s="4"/>
      <c r="C12" s="4"/>
      <c r="D12" s="8" t="str">
        <f aca="false">IF(A12="","",IF(IFERROR(VLOOKUP(A12,SRD!$X$2:$AD$38,6,FALSE()),"STR")="FIN",MAX(N(Character!$D$19),N(Character!$D$20)),IF(IFERROR(VLOOKUP(A12,SRD!$X$2:$AD$38,6,FALSE()),"STR")="DEX",N(Character!$D$20),N(Character!$D$19)))+IF(B12="Yes",N(Character!$D$28),0)+N(C12))</f>
        <v/>
      </c>
      <c r="E12" s="7" t="str">
        <f aca="false">IF(OR(A12="",IFERROR(VLOOKUP(A12,SRD!$X$2:$AD$38,3,FALSE()),"")=""),"",IFERROR(VLOOKUP(A12,SRD!$X$2:$AD$38,3,FALSE()),"")&amp;IF((IF(IFERROR(VLOOKUP(A12,SRD!$X$2:$AD$38,6,FALSE()),"STR")="FIN",MAX(N(Character!$D$19),N(Character!$D$20)),IF(IFERROR(VLOOKUP(A12,SRD!$X$2:$AD$38,6,FALSE()),"STR")="DEX",N(Character!$D$20),N(Character!$D$19)))+N(C12))=0,"",IF((IF(IFERROR(VLOOKUP(A12,SRD!$X$2:$AD$38,6,FALSE()),"STR")="FIN",MAX(N(Character!$D$19),N(Character!$D$20)),IF(IFERROR(VLOOKUP(A12,SRD!$X$2:$AD$38,6,FALSE()),"STR")="DEX",N(Character!$D$20),N(Character!$D$19)))+N(C12))&gt;0,"+"&amp;(IF(IFERROR(VLOOKUP(A12,SRD!$X$2:$AD$38,6,FALSE()),"STR")="FIN",MAX(N(Character!$D$19),N(Character!$D$20)),IF(IFERROR(VLOOKUP(A12,SRD!$X$2:$AD$38,6,FALSE()),"STR")="DEX",N(Character!$D$20),N(Character!$D$19)))+N(C12)),""&amp;(IF(IFERROR(VLOOKUP(A12,SRD!$X$2:$AD$38,6,FALSE()),"STR")="FIN",MAX(N(Character!$D$19),N(Character!$D$20)),IF(IFERROR(VLOOKUP(A12,SRD!$X$2:$AD$38,6,FALSE()),"STR")="DEX",N(Character!$D$20),N(Character!$D$19)))+N(C12)))))</f>
        <v/>
      </c>
      <c r="F12" s="7" t="str">
        <f aca="false">IF(A12="","",IFERROR(VLOOKUP(A12,SRD!$X$2:$AD$38,4,FALSE()),""))</f>
        <v/>
      </c>
      <c r="G12" s="7" t="str">
        <f aca="false">IF(A12="","",IFERROR(VLOOKUP(A12,SRD!$X$2:$AD$38,5,FALSE()),""))</f>
        <v/>
      </c>
      <c r="H12" s="4"/>
    </row>
    <row r="13" customFormat="false" ht="15" hidden="false" customHeight="false" outlineLevel="0" collapsed="false">
      <c r="A13" s="4"/>
      <c r="B13" s="4"/>
      <c r="C13" s="4"/>
      <c r="D13" s="8" t="str">
        <f aca="false">IF(A13="","",IF(IFERROR(VLOOKUP(A13,SRD!$X$2:$AD$38,6,FALSE()),"STR")="FIN",MAX(N(Character!$D$19),N(Character!$D$20)),IF(IFERROR(VLOOKUP(A13,SRD!$X$2:$AD$38,6,FALSE()),"STR")="DEX",N(Character!$D$20),N(Character!$D$19)))+IF(B13="Yes",N(Character!$D$28),0)+N(C13))</f>
        <v/>
      </c>
      <c r="E13" s="7" t="str">
        <f aca="false">IF(OR(A13="",IFERROR(VLOOKUP(A13,SRD!$X$2:$AD$38,3,FALSE()),"")=""),"",IFERROR(VLOOKUP(A13,SRD!$X$2:$AD$38,3,FALSE()),"")&amp;IF((IF(IFERROR(VLOOKUP(A13,SRD!$X$2:$AD$38,6,FALSE()),"STR")="FIN",MAX(N(Character!$D$19),N(Character!$D$20)),IF(IFERROR(VLOOKUP(A13,SRD!$X$2:$AD$38,6,FALSE()),"STR")="DEX",N(Character!$D$20),N(Character!$D$19)))+N(C13))=0,"",IF((IF(IFERROR(VLOOKUP(A13,SRD!$X$2:$AD$38,6,FALSE()),"STR")="FIN",MAX(N(Character!$D$19),N(Character!$D$20)),IF(IFERROR(VLOOKUP(A13,SRD!$X$2:$AD$38,6,FALSE()),"STR")="DEX",N(Character!$D$20),N(Character!$D$19)))+N(C13))&gt;0,"+"&amp;(IF(IFERROR(VLOOKUP(A13,SRD!$X$2:$AD$38,6,FALSE()),"STR")="FIN",MAX(N(Character!$D$19),N(Character!$D$20)),IF(IFERROR(VLOOKUP(A13,SRD!$X$2:$AD$38,6,FALSE()),"STR")="DEX",N(Character!$D$20),N(Character!$D$19)))+N(C13)),""&amp;(IF(IFERROR(VLOOKUP(A13,SRD!$X$2:$AD$38,6,FALSE()),"STR")="FIN",MAX(N(Character!$D$19),N(Character!$D$20)),IF(IFERROR(VLOOKUP(A13,SRD!$X$2:$AD$38,6,FALSE()),"STR")="DEX",N(Character!$D$20),N(Character!$D$19)))+N(C13)))))</f>
        <v/>
      </c>
      <c r="F13" s="7" t="str">
        <f aca="false">IF(A13="","",IFERROR(VLOOKUP(A13,SRD!$X$2:$AD$38,4,FALSE()),""))</f>
        <v/>
      </c>
      <c r="G13" s="7" t="str">
        <f aca="false">IF(A13="","",IFERROR(VLOOKUP(A13,SRD!$X$2:$AD$38,5,FALSE()),""))</f>
        <v/>
      </c>
      <c r="H13" s="4"/>
    </row>
    <row r="14" customFormat="false" ht="15" hidden="false" customHeight="false" outlineLevel="0" collapsed="false">
      <c r="A14" s="4"/>
      <c r="B14" s="4"/>
      <c r="C14" s="4"/>
      <c r="D14" s="8" t="str">
        <f aca="false">IF(A14="","",IF(IFERROR(VLOOKUP(A14,SRD!$X$2:$AD$38,6,FALSE()),"STR")="FIN",MAX(N(Character!$D$19),N(Character!$D$20)),IF(IFERROR(VLOOKUP(A14,SRD!$X$2:$AD$38,6,FALSE()),"STR")="DEX",N(Character!$D$20),N(Character!$D$19)))+IF(B14="Yes",N(Character!$D$28),0)+N(C14))</f>
        <v/>
      </c>
      <c r="E14" s="7" t="str">
        <f aca="false">IF(OR(A14="",IFERROR(VLOOKUP(A14,SRD!$X$2:$AD$38,3,FALSE()),"")=""),"",IFERROR(VLOOKUP(A14,SRD!$X$2:$AD$38,3,FALSE()),"")&amp;IF((IF(IFERROR(VLOOKUP(A14,SRD!$X$2:$AD$38,6,FALSE()),"STR")="FIN",MAX(N(Character!$D$19),N(Character!$D$20)),IF(IFERROR(VLOOKUP(A14,SRD!$X$2:$AD$38,6,FALSE()),"STR")="DEX",N(Character!$D$20),N(Character!$D$19)))+N(C14))=0,"",IF((IF(IFERROR(VLOOKUP(A14,SRD!$X$2:$AD$38,6,FALSE()),"STR")="FIN",MAX(N(Character!$D$19),N(Character!$D$20)),IF(IFERROR(VLOOKUP(A14,SRD!$X$2:$AD$38,6,FALSE()),"STR")="DEX",N(Character!$D$20),N(Character!$D$19)))+N(C14))&gt;0,"+"&amp;(IF(IFERROR(VLOOKUP(A14,SRD!$X$2:$AD$38,6,FALSE()),"STR")="FIN",MAX(N(Character!$D$19),N(Character!$D$20)),IF(IFERROR(VLOOKUP(A14,SRD!$X$2:$AD$38,6,FALSE()),"STR")="DEX",N(Character!$D$20),N(Character!$D$19)))+N(C14)),""&amp;(IF(IFERROR(VLOOKUP(A14,SRD!$X$2:$AD$38,6,FALSE()),"STR")="FIN",MAX(N(Character!$D$19),N(Character!$D$20)),IF(IFERROR(VLOOKUP(A14,SRD!$X$2:$AD$38,6,FALSE()),"STR")="DEX",N(Character!$D$20),N(Character!$D$19)))+N(C14)))))</f>
        <v/>
      </c>
      <c r="F14" s="7" t="str">
        <f aca="false">IF(A14="","",IFERROR(VLOOKUP(A14,SRD!$X$2:$AD$38,4,FALSE()),""))</f>
        <v/>
      </c>
      <c r="G14" s="7" t="str">
        <f aca="false">IF(A14="","",IFERROR(VLOOKUP(A14,SRD!$X$2:$AD$38,5,FALSE()),""))</f>
        <v/>
      </c>
      <c r="H14" s="4"/>
    </row>
    <row r="15" customFormat="false" ht="15" hidden="false" customHeight="false" outlineLevel="0" collapsed="false">
      <c r="A15" s="4"/>
      <c r="B15" s="4"/>
      <c r="C15" s="4"/>
      <c r="D15" s="8" t="str">
        <f aca="false">IF(A15="","",IF(IFERROR(VLOOKUP(A15,SRD!$X$2:$AD$38,6,FALSE()),"STR")="FIN",MAX(N(Character!$D$19),N(Character!$D$20)),IF(IFERROR(VLOOKUP(A15,SRD!$X$2:$AD$38,6,FALSE()),"STR")="DEX",N(Character!$D$20),N(Character!$D$19)))+IF(B15="Yes",N(Character!$D$28),0)+N(C15))</f>
        <v/>
      </c>
      <c r="E15" s="7" t="str">
        <f aca="false">IF(OR(A15="",IFERROR(VLOOKUP(A15,SRD!$X$2:$AD$38,3,FALSE()),"")=""),"",IFERROR(VLOOKUP(A15,SRD!$X$2:$AD$38,3,FALSE()),"")&amp;IF((IF(IFERROR(VLOOKUP(A15,SRD!$X$2:$AD$38,6,FALSE()),"STR")="FIN",MAX(N(Character!$D$19),N(Character!$D$20)),IF(IFERROR(VLOOKUP(A15,SRD!$X$2:$AD$38,6,FALSE()),"STR")="DEX",N(Character!$D$20),N(Character!$D$19)))+N(C15))=0,"",IF((IF(IFERROR(VLOOKUP(A15,SRD!$X$2:$AD$38,6,FALSE()),"STR")="FIN",MAX(N(Character!$D$19),N(Character!$D$20)),IF(IFERROR(VLOOKUP(A15,SRD!$X$2:$AD$38,6,FALSE()),"STR")="DEX",N(Character!$D$20),N(Character!$D$19)))+N(C15))&gt;0,"+"&amp;(IF(IFERROR(VLOOKUP(A15,SRD!$X$2:$AD$38,6,FALSE()),"STR")="FIN",MAX(N(Character!$D$19),N(Character!$D$20)),IF(IFERROR(VLOOKUP(A15,SRD!$X$2:$AD$38,6,FALSE()),"STR")="DEX",N(Character!$D$20),N(Character!$D$19)))+N(C15)),""&amp;(IF(IFERROR(VLOOKUP(A15,SRD!$X$2:$AD$38,6,FALSE()),"STR")="FIN",MAX(N(Character!$D$19),N(Character!$D$20)),IF(IFERROR(VLOOKUP(A15,SRD!$X$2:$AD$38,6,FALSE()),"STR")="DEX",N(Character!$D$20),N(Character!$D$19)))+N(C15)))))</f>
        <v/>
      </c>
      <c r="F15" s="7" t="str">
        <f aca="false">IF(A15="","",IFERROR(VLOOKUP(A15,SRD!$X$2:$AD$38,4,FALSE()),""))</f>
        <v/>
      </c>
      <c r="G15" s="7" t="str">
        <f aca="false">IF(A15="","",IFERROR(VLOOKUP(A15,SRD!$X$2:$AD$38,5,FALSE()),""))</f>
        <v/>
      </c>
      <c r="H15" s="4"/>
    </row>
    <row r="16" customFormat="false" ht="15" hidden="false" customHeight="false" outlineLevel="0" collapsed="false">
      <c r="A16" s="4"/>
      <c r="B16" s="4"/>
      <c r="C16" s="4"/>
      <c r="D16" s="8" t="str">
        <f aca="false">IF(A16="","",IF(IFERROR(VLOOKUP(A16,SRD!$X$2:$AD$38,6,FALSE()),"STR")="FIN",MAX(N(Character!$D$19),N(Character!$D$20)),IF(IFERROR(VLOOKUP(A16,SRD!$X$2:$AD$38,6,FALSE()),"STR")="DEX",N(Character!$D$20),N(Character!$D$19)))+IF(B16="Yes",N(Character!$D$28),0)+N(C16))</f>
        <v/>
      </c>
      <c r="E16" s="7" t="str">
        <f aca="false">IF(OR(A16="",IFERROR(VLOOKUP(A16,SRD!$X$2:$AD$38,3,FALSE()),"")=""),"",IFERROR(VLOOKUP(A16,SRD!$X$2:$AD$38,3,FALSE()),"")&amp;IF((IF(IFERROR(VLOOKUP(A16,SRD!$X$2:$AD$38,6,FALSE()),"STR")="FIN",MAX(N(Character!$D$19),N(Character!$D$20)),IF(IFERROR(VLOOKUP(A16,SRD!$X$2:$AD$38,6,FALSE()),"STR")="DEX",N(Character!$D$20),N(Character!$D$19)))+N(C16))=0,"",IF((IF(IFERROR(VLOOKUP(A16,SRD!$X$2:$AD$38,6,FALSE()),"STR")="FIN",MAX(N(Character!$D$19),N(Character!$D$20)),IF(IFERROR(VLOOKUP(A16,SRD!$X$2:$AD$38,6,FALSE()),"STR")="DEX",N(Character!$D$20),N(Character!$D$19)))+N(C16))&gt;0,"+"&amp;(IF(IFERROR(VLOOKUP(A16,SRD!$X$2:$AD$38,6,FALSE()),"STR")="FIN",MAX(N(Character!$D$19),N(Character!$D$20)),IF(IFERROR(VLOOKUP(A16,SRD!$X$2:$AD$38,6,FALSE()),"STR")="DEX",N(Character!$D$20),N(Character!$D$19)))+N(C16)),""&amp;(IF(IFERROR(VLOOKUP(A16,SRD!$X$2:$AD$38,6,FALSE()),"STR")="FIN",MAX(N(Character!$D$19),N(Character!$D$20)),IF(IFERROR(VLOOKUP(A16,SRD!$X$2:$AD$38,6,FALSE()),"STR")="DEX",N(Character!$D$20),N(Character!$D$19)))+N(C16)))))</f>
        <v/>
      </c>
      <c r="F16" s="7" t="str">
        <f aca="false">IF(A16="","",IFERROR(VLOOKUP(A16,SRD!$X$2:$AD$38,4,FALSE()),""))</f>
        <v/>
      </c>
      <c r="G16" s="7" t="str">
        <f aca="false">IF(A16="","",IFERROR(VLOOKUP(A16,SRD!$X$2:$AD$38,5,FALSE()),""))</f>
        <v/>
      </c>
      <c r="H16" s="4"/>
    </row>
    <row r="17" customFormat="false" ht="15" hidden="false" customHeight="false" outlineLevel="0" collapsed="false">
      <c r="A17" s="4"/>
      <c r="B17" s="4"/>
      <c r="C17" s="4"/>
      <c r="D17" s="8" t="str">
        <f aca="false">IF(A17="","",IF(IFERROR(VLOOKUP(A17,SRD!$X$2:$AD$38,6,FALSE()),"STR")="FIN",MAX(N(Character!$D$19),N(Character!$D$20)),IF(IFERROR(VLOOKUP(A17,SRD!$X$2:$AD$38,6,FALSE()),"STR")="DEX",N(Character!$D$20),N(Character!$D$19)))+IF(B17="Yes",N(Character!$D$28),0)+N(C17))</f>
        <v/>
      </c>
      <c r="E17" s="7" t="str">
        <f aca="false">IF(OR(A17="",IFERROR(VLOOKUP(A17,SRD!$X$2:$AD$38,3,FALSE()),"")=""),"",IFERROR(VLOOKUP(A17,SRD!$X$2:$AD$38,3,FALSE()),"")&amp;IF((IF(IFERROR(VLOOKUP(A17,SRD!$X$2:$AD$38,6,FALSE()),"STR")="FIN",MAX(N(Character!$D$19),N(Character!$D$20)),IF(IFERROR(VLOOKUP(A17,SRD!$X$2:$AD$38,6,FALSE()),"STR")="DEX",N(Character!$D$20),N(Character!$D$19)))+N(C17))=0,"",IF((IF(IFERROR(VLOOKUP(A17,SRD!$X$2:$AD$38,6,FALSE()),"STR")="FIN",MAX(N(Character!$D$19),N(Character!$D$20)),IF(IFERROR(VLOOKUP(A17,SRD!$X$2:$AD$38,6,FALSE()),"STR")="DEX",N(Character!$D$20),N(Character!$D$19)))+N(C17))&gt;0,"+"&amp;(IF(IFERROR(VLOOKUP(A17,SRD!$X$2:$AD$38,6,FALSE()),"STR")="FIN",MAX(N(Character!$D$19),N(Character!$D$20)),IF(IFERROR(VLOOKUP(A17,SRD!$X$2:$AD$38,6,FALSE()),"STR")="DEX",N(Character!$D$20),N(Character!$D$19)))+N(C17)),""&amp;(IF(IFERROR(VLOOKUP(A17,SRD!$X$2:$AD$38,6,FALSE()),"STR")="FIN",MAX(N(Character!$D$19),N(Character!$D$20)),IF(IFERROR(VLOOKUP(A17,SRD!$X$2:$AD$38,6,FALSE()),"STR")="DEX",N(Character!$D$20),N(Character!$D$19)))+N(C17)))))</f>
        <v/>
      </c>
      <c r="F17" s="7" t="str">
        <f aca="false">IF(A17="","",IFERROR(VLOOKUP(A17,SRD!$X$2:$AD$38,4,FALSE()),""))</f>
        <v/>
      </c>
      <c r="G17" s="7" t="str">
        <f aca="false">IF(A17="","",IFERROR(VLOOKUP(A17,SRD!$X$2:$AD$38,5,FALSE()),""))</f>
        <v/>
      </c>
      <c r="H17" s="4"/>
    </row>
    <row r="18" customFormat="false" ht="15" hidden="false" customHeight="false" outlineLevel="0" collapsed="false">
      <c r="A18" s="4"/>
      <c r="B18" s="4"/>
      <c r="C18" s="4"/>
      <c r="D18" s="8" t="str">
        <f aca="false">IF(A18="","",IF(IFERROR(VLOOKUP(A18,SRD!$X$2:$AD$38,6,FALSE()),"STR")="FIN",MAX(N(Character!$D$19),N(Character!$D$20)),IF(IFERROR(VLOOKUP(A18,SRD!$X$2:$AD$38,6,FALSE()),"STR")="DEX",N(Character!$D$20),N(Character!$D$19)))+IF(B18="Yes",N(Character!$D$28),0)+N(C18))</f>
        <v/>
      </c>
      <c r="E18" s="7" t="str">
        <f aca="false">IF(OR(A18="",IFERROR(VLOOKUP(A18,SRD!$X$2:$AD$38,3,FALSE()),"")=""),"",IFERROR(VLOOKUP(A18,SRD!$X$2:$AD$38,3,FALSE()),"")&amp;IF((IF(IFERROR(VLOOKUP(A18,SRD!$X$2:$AD$38,6,FALSE()),"STR")="FIN",MAX(N(Character!$D$19),N(Character!$D$20)),IF(IFERROR(VLOOKUP(A18,SRD!$X$2:$AD$38,6,FALSE()),"STR")="DEX",N(Character!$D$20),N(Character!$D$19)))+N(C18))=0,"",IF((IF(IFERROR(VLOOKUP(A18,SRD!$X$2:$AD$38,6,FALSE()),"STR")="FIN",MAX(N(Character!$D$19),N(Character!$D$20)),IF(IFERROR(VLOOKUP(A18,SRD!$X$2:$AD$38,6,FALSE()),"STR")="DEX",N(Character!$D$20),N(Character!$D$19)))+N(C18))&gt;0,"+"&amp;(IF(IFERROR(VLOOKUP(A18,SRD!$X$2:$AD$38,6,FALSE()),"STR")="FIN",MAX(N(Character!$D$19),N(Character!$D$20)),IF(IFERROR(VLOOKUP(A18,SRD!$X$2:$AD$38,6,FALSE()),"STR")="DEX",N(Character!$D$20),N(Character!$D$19)))+N(C18)),""&amp;(IF(IFERROR(VLOOKUP(A18,SRD!$X$2:$AD$38,6,FALSE()),"STR")="FIN",MAX(N(Character!$D$19),N(Character!$D$20)),IF(IFERROR(VLOOKUP(A18,SRD!$X$2:$AD$38,6,FALSE()),"STR")="DEX",N(Character!$D$20),N(Character!$D$19)))+N(C18)))))</f>
        <v/>
      </c>
      <c r="F18" s="7" t="str">
        <f aca="false">IF(A18="","",IFERROR(VLOOKUP(A18,SRD!$X$2:$AD$38,4,FALSE()),""))</f>
        <v/>
      </c>
      <c r="G18" s="7" t="str">
        <f aca="false">IF(A18="","",IFERROR(VLOOKUP(A18,SRD!$X$2:$AD$38,5,FALSE()),""))</f>
        <v/>
      </c>
      <c r="H18" s="4"/>
    </row>
    <row r="19" customFormat="false" ht="15" hidden="false" customHeight="false" outlineLevel="0" collapsed="false">
      <c r="A19" s="4"/>
      <c r="B19" s="4"/>
      <c r="C19" s="4"/>
      <c r="D19" s="8" t="str">
        <f aca="false">IF(A19="","",IF(IFERROR(VLOOKUP(A19,SRD!$X$2:$AD$38,6,FALSE()),"STR")="FIN",MAX(N(Character!$D$19),N(Character!$D$20)),IF(IFERROR(VLOOKUP(A19,SRD!$X$2:$AD$38,6,FALSE()),"STR")="DEX",N(Character!$D$20),N(Character!$D$19)))+IF(B19="Yes",N(Character!$D$28),0)+N(C19))</f>
        <v/>
      </c>
      <c r="E19" s="7" t="str">
        <f aca="false">IF(OR(A19="",IFERROR(VLOOKUP(A19,SRD!$X$2:$AD$38,3,FALSE()),"")=""),"",IFERROR(VLOOKUP(A19,SRD!$X$2:$AD$38,3,FALSE()),"")&amp;IF((IF(IFERROR(VLOOKUP(A19,SRD!$X$2:$AD$38,6,FALSE()),"STR")="FIN",MAX(N(Character!$D$19),N(Character!$D$20)),IF(IFERROR(VLOOKUP(A19,SRD!$X$2:$AD$38,6,FALSE()),"STR")="DEX",N(Character!$D$20),N(Character!$D$19)))+N(C19))=0,"",IF((IF(IFERROR(VLOOKUP(A19,SRD!$X$2:$AD$38,6,FALSE()),"STR")="FIN",MAX(N(Character!$D$19),N(Character!$D$20)),IF(IFERROR(VLOOKUP(A19,SRD!$X$2:$AD$38,6,FALSE()),"STR")="DEX",N(Character!$D$20),N(Character!$D$19)))+N(C19))&gt;0,"+"&amp;(IF(IFERROR(VLOOKUP(A19,SRD!$X$2:$AD$38,6,FALSE()),"STR")="FIN",MAX(N(Character!$D$19),N(Character!$D$20)),IF(IFERROR(VLOOKUP(A19,SRD!$X$2:$AD$38,6,FALSE()),"STR")="DEX",N(Character!$D$20),N(Character!$D$19)))+N(C19)),""&amp;(IF(IFERROR(VLOOKUP(A19,SRD!$X$2:$AD$38,6,FALSE()),"STR")="FIN",MAX(N(Character!$D$19),N(Character!$D$20)),IF(IFERROR(VLOOKUP(A19,SRD!$X$2:$AD$38,6,FALSE()),"STR")="DEX",N(Character!$D$20),N(Character!$D$19)))+N(C19)))))</f>
        <v/>
      </c>
      <c r="F19" s="7" t="str">
        <f aca="false">IF(A19="","",IFERROR(VLOOKUP(A19,SRD!$X$2:$AD$38,4,FALSE()),""))</f>
        <v/>
      </c>
      <c r="G19" s="7" t="str">
        <f aca="false">IF(A19="","",IFERROR(VLOOKUP(A19,SRD!$X$2:$AD$38,5,FALSE()),""))</f>
        <v/>
      </c>
      <c r="H19" s="4"/>
    </row>
    <row r="20" customFormat="false" ht="15" hidden="false" customHeight="false" outlineLevel="0" collapsed="false">
      <c r="A20" s="4"/>
      <c r="B20" s="4"/>
      <c r="C20" s="4"/>
      <c r="D20" s="8" t="str">
        <f aca="false">IF(A20="","",IF(IFERROR(VLOOKUP(A20,SRD!$X$2:$AD$38,6,FALSE()),"STR")="FIN",MAX(N(Character!$D$19),N(Character!$D$20)),IF(IFERROR(VLOOKUP(A20,SRD!$X$2:$AD$38,6,FALSE()),"STR")="DEX",N(Character!$D$20),N(Character!$D$19)))+IF(B20="Yes",N(Character!$D$28),0)+N(C20))</f>
        <v/>
      </c>
      <c r="E20" s="7" t="str">
        <f aca="false">IF(OR(A20="",IFERROR(VLOOKUP(A20,SRD!$X$2:$AD$38,3,FALSE()),"")=""),"",IFERROR(VLOOKUP(A20,SRD!$X$2:$AD$38,3,FALSE()),"")&amp;IF((IF(IFERROR(VLOOKUP(A20,SRD!$X$2:$AD$38,6,FALSE()),"STR")="FIN",MAX(N(Character!$D$19),N(Character!$D$20)),IF(IFERROR(VLOOKUP(A20,SRD!$X$2:$AD$38,6,FALSE()),"STR")="DEX",N(Character!$D$20),N(Character!$D$19)))+N(C20))=0,"",IF((IF(IFERROR(VLOOKUP(A20,SRD!$X$2:$AD$38,6,FALSE()),"STR")="FIN",MAX(N(Character!$D$19),N(Character!$D$20)),IF(IFERROR(VLOOKUP(A20,SRD!$X$2:$AD$38,6,FALSE()),"STR")="DEX",N(Character!$D$20),N(Character!$D$19)))+N(C20))&gt;0,"+"&amp;(IF(IFERROR(VLOOKUP(A20,SRD!$X$2:$AD$38,6,FALSE()),"STR")="FIN",MAX(N(Character!$D$19),N(Character!$D$20)),IF(IFERROR(VLOOKUP(A20,SRD!$X$2:$AD$38,6,FALSE()),"STR")="DEX",N(Character!$D$20),N(Character!$D$19)))+N(C20)),""&amp;(IF(IFERROR(VLOOKUP(A20,SRD!$X$2:$AD$38,6,FALSE()),"STR")="FIN",MAX(N(Character!$D$19),N(Character!$D$20)),IF(IFERROR(VLOOKUP(A20,SRD!$X$2:$AD$38,6,FALSE()),"STR")="DEX",N(Character!$D$20),N(Character!$D$19)))+N(C20)))))</f>
        <v/>
      </c>
      <c r="F20" s="7" t="str">
        <f aca="false">IF(A20="","",IFERROR(VLOOKUP(A20,SRD!$X$2:$AD$38,4,FALSE()),""))</f>
        <v/>
      </c>
      <c r="G20" s="7" t="str">
        <f aca="false">IF(A20="","",IFERROR(VLOOKUP(A20,SRD!$X$2:$AD$38,5,FALSE()),""))</f>
        <v/>
      </c>
      <c r="H20" s="4"/>
    </row>
    <row r="21" customFormat="false" ht="15" hidden="false" customHeight="false" outlineLevel="0" collapsed="false">
      <c r="A21" s="2" t="s">
        <v>135</v>
      </c>
    </row>
    <row r="23" customFormat="false" ht="15" hidden="false" customHeight="false" outlineLevel="0" collapsed="false">
      <c r="A23" s="3" t="s">
        <v>136</v>
      </c>
    </row>
    <row r="24" customFormat="false" ht="15" hidden="false" customHeight="false" outlineLevel="0" collapsed="false">
      <c r="A24" s="5" t="s">
        <v>137</v>
      </c>
      <c r="B24" s="5" t="s">
        <v>138</v>
      </c>
      <c r="C24" s="5" t="s">
        <v>139</v>
      </c>
      <c r="D24" s="5" t="s">
        <v>140</v>
      </c>
      <c r="E24" s="5" t="s">
        <v>141</v>
      </c>
    </row>
    <row r="25" customFormat="false" ht="15" hidden="false" customHeight="false" outlineLevel="0" collapsed="false">
      <c r="A25" s="4"/>
      <c r="B25" s="4"/>
      <c r="C25" s="4"/>
      <c r="D25" s="4"/>
      <c r="E25" s="4"/>
    </row>
    <row r="27" customFormat="false" ht="15" hidden="false" customHeight="false" outlineLevel="0" collapsed="false">
      <c r="A27" s="3" t="s">
        <v>142</v>
      </c>
    </row>
    <row r="28" customFormat="false" ht="15" hidden="false" customHeight="false" outlineLevel="0" collapsed="false">
      <c r="A28" s="5" t="s">
        <v>143</v>
      </c>
      <c r="B28" s="5" t="s">
        <v>144</v>
      </c>
      <c r="C28" s="5" t="s">
        <v>145</v>
      </c>
      <c r="D28" s="5" t="s">
        <v>146</v>
      </c>
      <c r="E28" s="5" t="s">
        <v>110</v>
      </c>
      <c r="G28" s="3" t="s">
        <v>147</v>
      </c>
      <c r="H28" s="7" t="n">
        <f aca="false">SUMPRODUCT(B29:B68,C29:C68)</f>
        <v>0</v>
      </c>
    </row>
    <row r="29" customFormat="false" ht="15" hidden="false" customHeight="false" outlineLevel="0" collapsed="false">
      <c r="A29" s="4"/>
      <c r="B29" s="4"/>
      <c r="C29" s="4"/>
      <c r="D29" s="4"/>
      <c r="E29" s="4"/>
      <c r="G29" s="3" t="s">
        <v>148</v>
      </c>
      <c r="H29" s="7" t="str">
        <f aca="false">IF(Character!$C$19="","",Character!$C$19*15)</f>
        <v/>
      </c>
    </row>
    <row r="30" customFormat="false" ht="15" hidden="false" customHeight="false" outlineLevel="0" collapsed="false">
      <c r="A30" s="4"/>
      <c r="B30" s="4"/>
      <c r="C30" s="4"/>
      <c r="D30" s="4"/>
      <c r="E30" s="4"/>
    </row>
    <row r="31" customFormat="false" ht="15" hidden="false" customHeight="false" outlineLevel="0" collapsed="false">
      <c r="A31" s="4"/>
      <c r="B31" s="4"/>
      <c r="C31" s="4"/>
      <c r="D31" s="4"/>
      <c r="E31" s="4"/>
    </row>
    <row r="32" customFormat="false" ht="15" hidden="false" customHeight="false" outlineLevel="0" collapsed="false">
      <c r="A32" s="4"/>
      <c r="B32" s="4"/>
      <c r="C32" s="4"/>
      <c r="D32" s="4"/>
      <c r="E32" s="4"/>
    </row>
    <row r="33" customFormat="false" ht="15" hidden="false" customHeight="false" outlineLevel="0" collapsed="false">
      <c r="A33" s="4"/>
      <c r="B33" s="4"/>
      <c r="C33" s="4"/>
      <c r="D33" s="4"/>
      <c r="E33" s="4"/>
    </row>
    <row r="34" customFormat="false" ht="15" hidden="false" customHeight="false" outlineLevel="0" collapsed="false">
      <c r="A34" s="4"/>
      <c r="B34" s="4"/>
      <c r="C34" s="4"/>
      <c r="D34" s="4"/>
      <c r="E34" s="4"/>
    </row>
    <row r="35" customFormat="false" ht="15" hidden="false" customHeight="false" outlineLevel="0" collapsed="false">
      <c r="A35" s="4"/>
      <c r="B35" s="4"/>
      <c r="C35" s="4"/>
      <c r="D35" s="4"/>
      <c r="E35" s="4"/>
    </row>
    <row r="36" customFormat="false" ht="15" hidden="false" customHeight="false" outlineLevel="0" collapsed="false">
      <c r="A36" s="4"/>
      <c r="B36" s="4"/>
      <c r="C36" s="4"/>
      <c r="D36" s="4"/>
      <c r="E36" s="4"/>
    </row>
    <row r="37" customFormat="false" ht="15" hidden="false" customHeight="false" outlineLevel="0" collapsed="false">
      <c r="A37" s="4"/>
      <c r="B37" s="4"/>
      <c r="C37" s="4"/>
      <c r="D37" s="4"/>
      <c r="E37" s="4"/>
    </row>
    <row r="38" customFormat="false" ht="15" hidden="false" customHeight="false" outlineLevel="0" collapsed="false">
      <c r="A38" s="4"/>
      <c r="B38" s="4"/>
      <c r="C38" s="4"/>
      <c r="D38" s="4"/>
      <c r="E38" s="4"/>
    </row>
    <row r="39" customFormat="false" ht="15" hidden="false" customHeight="false" outlineLevel="0" collapsed="false">
      <c r="A39" s="4"/>
      <c r="B39" s="4"/>
      <c r="C39" s="4"/>
      <c r="D39" s="4"/>
      <c r="E39" s="4"/>
    </row>
    <row r="40" customFormat="false" ht="15" hidden="false" customHeight="false" outlineLevel="0" collapsed="false">
      <c r="A40" s="4"/>
      <c r="B40" s="4"/>
      <c r="C40" s="4"/>
      <c r="D40" s="4"/>
      <c r="E40" s="4"/>
    </row>
    <row r="41" customFormat="false" ht="15" hidden="false" customHeight="false" outlineLevel="0" collapsed="false">
      <c r="A41" s="4"/>
      <c r="B41" s="4"/>
      <c r="C41" s="4"/>
      <c r="D41" s="4"/>
      <c r="E41" s="4"/>
    </row>
    <row r="42" customFormat="false" ht="15" hidden="false" customHeight="false" outlineLevel="0" collapsed="false">
      <c r="A42" s="4"/>
      <c r="B42" s="4"/>
      <c r="C42" s="4"/>
      <c r="D42" s="4"/>
      <c r="E42" s="4"/>
    </row>
    <row r="43" customFormat="false" ht="15" hidden="false" customHeight="false" outlineLevel="0" collapsed="false">
      <c r="A43" s="4"/>
      <c r="B43" s="4"/>
      <c r="C43" s="4"/>
      <c r="D43" s="4"/>
      <c r="E43" s="4"/>
    </row>
    <row r="44" customFormat="false" ht="15" hidden="false" customHeight="false" outlineLevel="0" collapsed="false">
      <c r="A44" s="4"/>
      <c r="B44" s="4"/>
      <c r="C44" s="4"/>
      <c r="D44" s="4"/>
      <c r="E44" s="4"/>
    </row>
    <row r="45" customFormat="false" ht="15" hidden="false" customHeight="false" outlineLevel="0" collapsed="false">
      <c r="A45" s="4"/>
      <c r="B45" s="4"/>
      <c r="C45" s="4"/>
      <c r="D45" s="4"/>
      <c r="E45" s="4"/>
    </row>
    <row r="46" customFormat="false" ht="15" hidden="false" customHeight="false" outlineLevel="0" collapsed="false">
      <c r="A46" s="4"/>
      <c r="B46" s="4"/>
      <c r="C46" s="4"/>
      <c r="D46" s="4"/>
      <c r="E46" s="4"/>
    </row>
    <row r="47" customFormat="false" ht="15" hidden="false" customHeight="false" outlineLevel="0" collapsed="false">
      <c r="A47" s="4"/>
      <c r="B47" s="4"/>
      <c r="C47" s="4"/>
      <c r="D47" s="4"/>
      <c r="E47" s="4"/>
    </row>
    <row r="48" customFormat="false" ht="15" hidden="false" customHeight="false" outlineLevel="0" collapsed="false">
      <c r="A48" s="4"/>
      <c r="B48" s="4"/>
      <c r="C48" s="4"/>
      <c r="D48" s="4"/>
      <c r="E48" s="4"/>
    </row>
    <row r="49" customFormat="false" ht="15" hidden="false" customHeight="false" outlineLevel="0" collapsed="false">
      <c r="A49" s="4"/>
      <c r="B49" s="4"/>
      <c r="C49" s="4"/>
      <c r="D49" s="4"/>
      <c r="E49" s="4"/>
    </row>
    <row r="50" customFormat="false" ht="15" hidden="false" customHeight="false" outlineLevel="0" collapsed="false">
      <c r="A50" s="4"/>
      <c r="B50" s="4"/>
      <c r="C50" s="4"/>
      <c r="D50" s="4"/>
      <c r="E50" s="4"/>
    </row>
    <row r="51" customFormat="false" ht="15" hidden="false" customHeight="false" outlineLevel="0" collapsed="false">
      <c r="A51" s="4"/>
      <c r="B51" s="4"/>
      <c r="C51" s="4"/>
      <c r="D51" s="4"/>
      <c r="E51" s="4"/>
    </row>
    <row r="52" customFormat="false" ht="15" hidden="false" customHeight="false" outlineLevel="0" collapsed="false">
      <c r="A52" s="4"/>
      <c r="B52" s="4"/>
      <c r="C52" s="4"/>
      <c r="D52" s="4"/>
      <c r="E52" s="4"/>
    </row>
    <row r="53" customFormat="false" ht="15" hidden="false" customHeight="false" outlineLevel="0" collapsed="false">
      <c r="A53" s="4"/>
      <c r="B53" s="4"/>
      <c r="C53" s="4"/>
      <c r="D53" s="4"/>
      <c r="E53" s="4"/>
    </row>
    <row r="54" customFormat="false" ht="15" hidden="false" customHeight="false" outlineLevel="0" collapsed="false">
      <c r="A54" s="4"/>
      <c r="B54" s="4"/>
      <c r="C54" s="4"/>
      <c r="D54" s="4"/>
      <c r="E54" s="4"/>
    </row>
    <row r="55" customFormat="false" ht="15" hidden="false" customHeight="false" outlineLevel="0" collapsed="false">
      <c r="A55" s="4"/>
      <c r="B55" s="4"/>
      <c r="C55" s="4"/>
      <c r="D55" s="4"/>
      <c r="E55" s="4"/>
    </row>
    <row r="56" customFormat="false" ht="15" hidden="false" customHeight="false" outlineLevel="0" collapsed="false">
      <c r="A56" s="4"/>
      <c r="B56" s="4"/>
      <c r="C56" s="4"/>
      <c r="D56" s="4"/>
      <c r="E56" s="4"/>
    </row>
    <row r="57" customFormat="false" ht="15" hidden="false" customHeight="false" outlineLevel="0" collapsed="false">
      <c r="A57" s="4"/>
      <c r="B57" s="4"/>
      <c r="C57" s="4"/>
      <c r="D57" s="4"/>
      <c r="E57" s="4"/>
    </row>
    <row r="58" customFormat="false" ht="15" hidden="false" customHeight="false" outlineLevel="0" collapsed="false">
      <c r="A58" s="4"/>
      <c r="B58" s="4"/>
      <c r="C58" s="4"/>
      <c r="D58" s="4"/>
      <c r="E58" s="4"/>
    </row>
    <row r="59" customFormat="false" ht="15" hidden="false" customHeight="false" outlineLevel="0" collapsed="false">
      <c r="A59" s="4"/>
      <c r="B59" s="4"/>
      <c r="C59" s="4"/>
      <c r="D59" s="4"/>
      <c r="E59" s="4"/>
    </row>
    <row r="60" customFormat="false" ht="15" hidden="false" customHeight="false" outlineLevel="0" collapsed="false">
      <c r="A60" s="4"/>
      <c r="B60" s="4"/>
      <c r="C60" s="4"/>
      <c r="D60" s="4"/>
      <c r="E60" s="4"/>
    </row>
    <row r="61" customFormat="false" ht="15" hidden="false" customHeight="false" outlineLevel="0" collapsed="false">
      <c r="A61" s="4"/>
      <c r="B61" s="4"/>
      <c r="C61" s="4"/>
      <c r="D61" s="4"/>
      <c r="E61" s="4"/>
    </row>
    <row r="62" customFormat="false" ht="15" hidden="false" customHeight="false" outlineLevel="0" collapsed="false">
      <c r="A62" s="4"/>
      <c r="B62" s="4"/>
      <c r="C62" s="4"/>
      <c r="D62" s="4"/>
      <c r="E62" s="4"/>
    </row>
    <row r="63" customFormat="false" ht="15" hidden="false" customHeight="false" outlineLevel="0" collapsed="false">
      <c r="A63" s="4"/>
      <c r="B63" s="4"/>
      <c r="C63" s="4"/>
      <c r="D63" s="4"/>
      <c r="E63" s="4"/>
    </row>
    <row r="64" customFormat="false" ht="15" hidden="false" customHeight="false" outlineLevel="0" collapsed="false">
      <c r="A64" s="4"/>
      <c r="B64" s="4"/>
      <c r="C64" s="4"/>
      <c r="D64" s="4"/>
      <c r="E64" s="4"/>
    </row>
    <row r="65" customFormat="false" ht="15" hidden="false" customHeight="false" outlineLevel="0" collapsed="false">
      <c r="A65" s="4"/>
      <c r="B65" s="4"/>
      <c r="C65" s="4"/>
      <c r="D65" s="4"/>
      <c r="E65" s="4"/>
    </row>
    <row r="66" customFormat="false" ht="15" hidden="false" customHeight="false" outlineLevel="0" collapsed="false">
      <c r="A66" s="4"/>
      <c r="B66" s="4"/>
      <c r="C66" s="4"/>
      <c r="D66" s="4"/>
      <c r="E66" s="4"/>
    </row>
    <row r="67" customFormat="false" ht="15" hidden="false" customHeight="false" outlineLevel="0" collapsed="false">
      <c r="A67" s="4"/>
      <c r="B67" s="4"/>
      <c r="C67" s="4"/>
      <c r="D67" s="4"/>
      <c r="E67" s="4"/>
    </row>
    <row r="68" customFormat="false" ht="15" hidden="false" customHeight="false" outlineLevel="0" collapsed="false">
      <c r="A68" s="4"/>
      <c r="B68" s="4"/>
      <c r="C68" s="4"/>
      <c r="D68" s="4"/>
      <c r="E68" s="4"/>
    </row>
    <row r="71" customFormat="false" ht="15" hidden="false" customHeight="false" outlineLevel="0" collapsed="false">
      <c r="A71" s="3" t="s">
        <v>149</v>
      </c>
    </row>
    <row r="72" customFormat="false" ht="15" hidden="false" customHeight="false" outlineLevel="0" collapsed="false">
      <c r="A72" s="5" t="s">
        <v>143</v>
      </c>
      <c r="B72" s="5" t="s">
        <v>110</v>
      </c>
      <c r="C72" s="5"/>
      <c r="D72" s="5"/>
      <c r="E72" s="5"/>
      <c r="F72" s="5"/>
      <c r="G72" s="5"/>
      <c r="H72" s="5"/>
    </row>
    <row r="73" customFormat="false" ht="15" hidden="false" customHeight="false" outlineLevel="0" collapsed="false">
      <c r="A73" s="4"/>
      <c r="B73" s="9"/>
      <c r="C73" s="9"/>
      <c r="D73" s="9"/>
      <c r="E73" s="9"/>
      <c r="F73" s="9"/>
      <c r="G73" s="9"/>
      <c r="H73" s="9"/>
    </row>
    <row r="74" customFormat="false" ht="15" hidden="false" customHeight="false" outlineLevel="0" collapsed="false">
      <c r="A74" s="4"/>
      <c r="B74" s="9"/>
      <c r="C74" s="9"/>
      <c r="D74" s="9"/>
      <c r="E74" s="9"/>
      <c r="F74" s="9"/>
      <c r="G74" s="9"/>
      <c r="H74" s="9"/>
    </row>
    <row r="75" customFormat="false" ht="15" hidden="false" customHeight="false" outlineLevel="0" collapsed="false">
      <c r="A75" s="4"/>
      <c r="B75" s="9"/>
      <c r="C75" s="9"/>
      <c r="D75" s="9"/>
      <c r="E75" s="9"/>
      <c r="F75" s="9"/>
      <c r="G75" s="9"/>
      <c r="H75" s="9"/>
    </row>
    <row r="76" customFormat="false" ht="15" hidden="false" customHeight="false" outlineLevel="0" collapsed="false">
      <c r="A76" s="4"/>
      <c r="B76" s="9"/>
      <c r="C76" s="9"/>
      <c r="D76" s="9"/>
      <c r="E76" s="9"/>
      <c r="F76" s="9"/>
      <c r="G76" s="9"/>
      <c r="H76" s="9"/>
    </row>
    <row r="77" customFormat="false" ht="15" hidden="false" customHeight="false" outlineLevel="0" collapsed="false">
      <c r="A77" s="4"/>
      <c r="B77" s="9"/>
      <c r="C77" s="9"/>
      <c r="D77" s="9"/>
      <c r="E77" s="9"/>
      <c r="F77" s="9"/>
      <c r="G77" s="9"/>
      <c r="H77" s="9"/>
    </row>
    <row r="78" customFormat="false" ht="15" hidden="false" customHeight="false" outlineLevel="0" collapsed="false">
      <c r="A78" s="4"/>
      <c r="B78" s="9"/>
      <c r="C78" s="9"/>
      <c r="D78" s="9"/>
      <c r="E78" s="9"/>
      <c r="F78" s="9"/>
      <c r="G78" s="9"/>
      <c r="H78" s="9"/>
    </row>
    <row r="79" customFormat="false" ht="15" hidden="false" customHeight="false" outlineLevel="0" collapsed="false">
      <c r="A79" s="4"/>
      <c r="B79" s="9"/>
      <c r="C79" s="9"/>
      <c r="D79" s="9"/>
      <c r="E79" s="9"/>
      <c r="F79" s="9"/>
      <c r="G79" s="9"/>
      <c r="H79" s="9"/>
    </row>
    <row r="80" customFormat="false" ht="15" hidden="false" customHeight="false" outlineLevel="0" collapsed="false">
      <c r="A80" s="4"/>
      <c r="B80" s="9"/>
      <c r="C80" s="9"/>
      <c r="D80" s="9"/>
      <c r="E80" s="9"/>
      <c r="F80" s="9"/>
      <c r="G80" s="9"/>
      <c r="H80" s="9"/>
    </row>
    <row r="81" customFormat="false" ht="15" hidden="false" customHeight="false" outlineLevel="0" collapsed="false">
      <c r="A81" s="4"/>
      <c r="B81" s="9"/>
      <c r="C81" s="9"/>
      <c r="D81" s="9"/>
      <c r="E81" s="9"/>
      <c r="F81" s="9"/>
      <c r="G81" s="9"/>
      <c r="H81" s="9"/>
    </row>
    <row r="82" customFormat="false" ht="15" hidden="false" customHeight="false" outlineLevel="0" collapsed="false">
      <c r="A82" s="4"/>
      <c r="B82" s="9"/>
      <c r="C82" s="9"/>
      <c r="D82" s="9"/>
      <c r="E82" s="9"/>
      <c r="F82" s="9"/>
      <c r="G82" s="9"/>
      <c r="H82" s="9"/>
    </row>
  </sheetData>
  <mergeCells count="11">
    <mergeCell ref="B72:H72"/>
    <mergeCell ref="B73:H73"/>
    <mergeCell ref="B74:H74"/>
    <mergeCell ref="B75:H75"/>
    <mergeCell ref="B76:H76"/>
    <mergeCell ref="B77:H77"/>
    <mergeCell ref="B78:H78"/>
    <mergeCell ref="B79:H79"/>
    <mergeCell ref="B80:H80"/>
    <mergeCell ref="B81:H81"/>
    <mergeCell ref="B82:H82"/>
  </mergeCells>
  <dataValidations count="6">
    <dataValidation allowBlank="true" errorStyle="stop" operator="between" showDropDown="false" showErrorMessage="false" showInputMessage="false" sqref="A4" type="list">
      <formula1>SRD!$Q$2:$Q$13</formula1>
      <formula2>0</formula2>
    </dataValidation>
    <dataValidation allowBlank="true" errorStyle="stop" operator="between" showDropDown="false" showErrorMessage="true" showInputMessage="false" sqref="D4:E4" type="list">
      <formula1>SRD!$AU$2:$AU$3</formula1>
      <formula2>0</formula2>
    </dataValidation>
    <dataValidation allowBlank="true" errorStyle="stop" operator="between" showDropDown="false" showErrorMessage="true" showInputMessage="false" sqref="D7:E7" type="list">
      <formula1>SRD!$AU$2:$AU$3</formula1>
      <formula2>0</formula2>
    </dataValidation>
    <dataValidation allowBlank="true" errorStyle="stop" operator="between" showDropDown="false" showErrorMessage="false" showInputMessage="false" sqref="A11:A20" type="list">
      <formula1>SRD!$X$2:$X$38</formula1>
      <formula2>0</formula2>
    </dataValidation>
    <dataValidation allowBlank="true" errorStyle="stop" operator="between" showDropDown="false" showErrorMessage="true" showInputMessage="false" sqref="B11:B20" type="list">
      <formula1>SRD!$AU$2:$AU$3</formula1>
      <formula2>0</formula2>
    </dataValidation>
    <dataValidation allowBlank="true" errorStyle="stop" operator="between" showDropDown="false" showErrorMessage="false" showInputMessage="false" sqref="D29:D68" type="list">
      <formula1>SRD!$BE$2:$BE$6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4" customFormat="false" ht="18" hidden="false" customHeight="true" outlineLevel="0" collapsed="false">
      <c r="A4" s="10" t="s">
        <v>152</v>
      </c>
      <c r="B4" s="9"/>
    </row>
    <row r="5" customFormat="false" ht="18" hidden="false" customHeight="true" outlineLevel="0" collapsed="false">
      <c r="A5" s="10" t="s">
        <v>153</v>
      </c>
      <c r="B5" s="9"/>
    </row>
    <row r="6" customFormat="false" ht="45" hidden="false" customHeight="true" outlineLevel="0" collapsed="false">
      <c r="A6" s="10" t="s">
        <v>154</v>
      </c>
      <c r="B6" s="9"/>
    </row>
    <row r="7" customFormat="false" ht="45" hidden="false" customHeight="true" outlineLevel="0" collapsed="false">
      <c r="A7" s="10" t="s">
        <v>155</v>
      </c>
      <c r="B7" s="9"/>
    </row>
    <row r="8" customFormat="false" ht="120" hidden="false" customHeight="true" outlineLevel="0" collapsed="false">
      <c r="A8" s="10" t="s">
        <v>156</v>
      </c>
      <c r="B8" s="9"/>
    </row>
    <row r="9" customFormat="false" ht="18" hidden="false" customHeight="true" outlineLevel="0" collapsed="false">
      <c r="A9" s="10" t="s">
        <v>157</v>
      </c>
      <c r="B9" s="9"/>
    </row>
    <row r="10" customFormat="false" ht="18" hidden="false" customHeight="true" outlineLevel="0" collapsed="false">
      <c r="A10" s="10" t="s">
        <v>158</v>
      </c>
      <c r="B10" s="9"/>
    </row>
    <row r="11" customFormat="false" ht="18" hidden="false" customHeight="true" outlineLevel="0" collapsed="false">
      <c r="A11" s="10" t="s">
        <v>159</v>
      </c>
      <c r="B11" s="9"/>
    </row>
    <row r="12" customFormat="false" ht="18" hidden="false" customHeight="true" outlineLevel="0" collapsed="false">
      <c r="A12" s="10" t="s">
        <v>160</v>
      </c>
      <c r="B12" s="9"/>
    </row>
    <row r="13" customFormat="false" ht="18" hidden="false" customHeight="true" outlineLevel="0" collapsed="false">
      <c r="A13" s="10" t="s">
        <v>161</v>
      </c>
      <c r="B13" s="9"/>
    </row>
    <row r="14" customFormat="false" ht="18" hidden="false" customHeight="true" outlineLevel="0" collapsed="false">
      <c r="A14" s="10" t="s">
        <v>162</v>
      </c>
      <c r="B14" s="9"/>
    </row>
  </sheetData>
  <dataValidations count="1">
    <dataValidation allowBlank="true" errorStyle="stop" operator="between" showDropDown="false" showErrorMessage="false" showInputMessage="false" sqref="B4" type="list">
      <formula1>SRD!$BC$2:$BC$2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1" t="s">
        <v>163</v>
      </c>
    </row>
    <row r="2" customFormat="false" ht="15" hidden="false" customHeight="false" outlineLevel="0" collapsed="false">
      <c r="A2" s="12"/>
    </row>
    <row r="3" customFormat="false" ht="15" hidden="false" customHeight="false" outlineLevel="0" collapsed="false">
      <c r="A3" s="13" t="s">
        <v>164</v>
      </c>
    </row>
    <row r="4" customFormat="false" ht="15" hidden="false" customHeight="false" outlineLevel="0" collapsed="false">
      <c r="A4" s="14" t="s">
        <v>165</v>
      </c>
    </row>
    <row r="5" customFormat="false" ht="15" hidden="false" customHeight="false" outlineLevel="0" collapsed="false">
      <c r="A5" s="14" t="s">
        <v>166</v>
      </c>
    </row>
    <row r="6" customFormat="false" ht="15" hidden="false" customHeight="false" outlineLevel="0" collapsed="false">
      <c r="A6" s="14" t="s">
        <v>167</v>
      </c>
    </row>
    <row r="7" customFormat="false" ht="15" hidden="false" customHeight="false" outlineLevel="0" collapsed="false">
      <c r="A7" s="14" t="s">
        <v>168</v>
      </c>
    </row>
    <row r="8" customFormat="false" ht="15" hidden="false" customHeight="false" outlineLevel="0" collapsed="false">
      <c r="A8" s="12"/>
    </row>
    <row r="9" customFormat="false" ht="15" hidden="false" customHeight="false" outlineLevel="0" collapsed="false">
      <c r="A9" s="13" t="s">
        <v>169</v>
      </c>
    </row>
    <row r="10" customFormat="false" ht="15" hidden="false" customHeight="false" outlineLevel="0" collapsed="false">
      <c r="A10" s="14" t="s">
        <v>170</v>
      </c>
    </row>
    <row r="11" customFormat="false" ht="23.85" hidden="false" customHeight="false" outlineLevel="0" collapsed="false">
      <c r="A11" s="14" t="s">
        <v>171</v>
      </c>
    </row>
    <row r="12" customFormat="false" ht="15" hidden="false" customHeight="false" outlineLevel="0" collapsed="false">
      <c r="A12" s="14" t="s">
        <v>172</v>
      </c>
    </row>
    <row r="13" customFormat="false" ht="15" hidden="false" customHeight="false" outlineLevel="0" collapsed="false">
      <c r="A13" s="12"/>
    </row>
    <row r="14" customFormat="false" ht="15" hidden="false" customHeight="false" outlineLevel="0" collapsed="false">
      <c r="A14" s="13" t="s">
        <v>173</v>
      </c>
    </row>
    <row r="15" customFormat="false" ht="51.75" hidden="false" customHeight="true" outlineLevel="0" collapsed="false">
      <c r="A15" s="14" t="s">
        <v>174</v>
      </c>
    </row>
    <row r="16" customFormat="false" ht="15" hidden="false" customHeight="false" outlineLevel="0" collapsed="false">
      <c r="A16" s="15" t="s">
        <v>175</v>
      </c>
    </row>
    <row r="17" customFormat="false" ht="15" hidden="false" customHeight="false" outlineLevel="0" collapsed="false">
      <c r="A17" s="15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1" t="s">
        <v>177</v>
      </c>
    </row>
    <row r="3" customFormat="false" ht="15" hidden="false" customHeight="false" outlineLevel="0" collapsed="false">
      <c r="A3" s="5" t="s">
        <v>178</v>
      </c>
      <c r="B3" s="5" t="s">
        <v>179</v>
      </c>
      <c r="C3" s="5" t="s">
        <v>180</v>
      </c>
      <c r="D3" s="5" t="s">
        <v>181</v>
      </c>
      <c r="E3" s="5" t="s">
        <v>182</v>
      </c>
    </row>
    <row r="4" customFormat="false" ht="15" hidden="false" customHeight="false" outlineLevel="0" collapsed="false">
      <c r="A4" s="16" t="s">
        <v>183</v>
      </c>
      <c r="B4" s="16" t="s">
        <v>184</v>
      </c>
      <c r="C4" s="16" t="s">
        <v>185</v>
      </c>
      <c r="D4" s="16" t="s">
        <v>186</v>
      </c>
      <c r="E4" s="16"/>
    </row>
    <row r="5" customFormat="false" ht="15" hidden="false" customHeight="false" outlineLevel="0" collapsed="false">
      <c r="A5" s="16" t="s">
        <v>187</v>
      </c>
      <c r="B5" s="16" t="s">
        <v>188</v>
      </c>
      <c r="C5" s="16" t="s">
        <v>189</v>
      </c>
      <c r="D5" s="16" t="s">
        <v>186</v>
      </c>
      <c r="E5" s="16"/>
    </row>
    <row r="6" customFormat="false" ht="15" hidden="false" customHeight="false" outlineLevel="0" collapsed="false">
      <c r="A6" s="16" t="s">
        <v>190</v>
      </c>
      <c r="B6" s="16" t="s">
        <v>191</v>
      </c>
      <c r="C6" s="16" t="s">
        <v>192</v>
      </c>
      <c r="D6" s="16" t="s">
        <v>186</v>
      </c>
      <c r="E6" s="16"/>
    </row>
    <row r="7" customFormat="false" ht="15" hidden="false" customHeight="false" outlineLevel="0" collapsed="false">
      <c r="A7" s="16" t="s">
        <v>193</v>
      </c>
      <c r="B7" s="16" t="s">
        <v>194</v>
      </c>
      <c r="C7" s="16" t="s">
        <v>195</v>
      </c>
      <c r="D7" s="16" t="s">
        <v>186</v>
      </c>
      <c r="E7" s="16"/>
    </row>
    <row r="8" customFormat="false" ht="15" hidden="false" customHeight="false" outlineLevel="0" collapsed="false">
      <c r="A8" s="16" t="s">
        <v>196</v>
      </c>
      <c r="B8" s="16" t="s">
        <v>197</v>
      </c>
      <c r="C8" s="16" t="s">
        <v>198</v>
      </c>
      <c r="D8" s="16" t="s">
        <v>186</v>
      </c>
      <c r="E8" s="16"/>
    </row>
    <row r="9" customFormat="false" ht="15" hidden="false" customHeight="false" outlineLevel="0" collapsed="false">
      <c r="A9" s="16" t="s">
        <v>199</v>
      </c>
      <c r="B9" s="16" t="s">
        <v>200</v>
      </c>
      <c r="C9" s="16" t="s">
        <v>201</v>
      </c>
      <c r="D9" s="16" t="s">
        <v>186</v>
      </c>
      <c r="E9" s="16"/>
    </row>
    <row r="10" customFormat="false" ht="15" hidden="false" customHeight="false" outlineLevel="0" collapsed="false">
      <c r="A10" s="16" t="s">
        <v>202</v>
      </c>
      <c r="B10" s="16" t="s">
        <v>203</v>
      </c>
      <c r="C10" s="16" t="s">
        <v>204</v>
      </c>
      <c r="D10" s="16" t="s">
        <v>186</v>
      </c>
      <c r="E10" s="16"/>
    </row>
    <row r="11" customFormat="false" ht="15" hidden="false" customHeight="false" outlineLevel="0" collapsed="false">
      <c r="A11" s="16" t="s">
        <v>205</v>
      </c>
      <c r="B11" s="16" t="s">
        <v>206</v>
      </c>
      <c r="C11" s="16" t="s">
        <v>207</v>
      </c>
      <c r="D11" s="16" t="s">
        <v>208</v>
      </c>
      <c r="E11" s="16"/>
    </row>
    <row r="12" customFormat="false" ht="15" hidden="false" customHeight="false" outlineLevel="0" collapsed="false">
      <c r="A12" s="16" t="s">
        <v>209</v>
      </c>
      <c r="B12" s="16" t="s">
        <v>210</v>
      </c>
      <c r="C12" s="16" t="s">
        <v>211</v>
      </c>
      <c r="D12" s="16" t="s">
        <v>186</v>
      </c>
      <c r="E12" s="16"/>
    </row>
    <row r="13" customFormat="false" ht="15" hidden="false" customHeight="false" outlineLevel="0" collapsed="false">
      <c r="A13" s="16" t="s">
        <v>212</v>
      </c>
      <c r="B13" s="16" t="s">
        <v>213</v>
      </c>
      <c r="C13" s="16" t="s">
        <v>214</v>
      </c>
      <c r="D13" s="16" t="s">
        <v>186</v>
      </c>
      <c r="E13" s="16"/>
    </row>
    <row r="14" customFormat="false" ht="15" hidden="false" customHeight="false" outlineLevel="0" collapsed="false">
      <c r="A14" s="16" t="s">
        <v>215</v>
      </c>
      <c r="B14" s="16" t="s">
        <v>216</v>
      </c>
      <c r="C14" s="16" t="s">
        <v>217</v>
      </c>
      <c r="D14" s="16" t="s">
        <v>186</v>
      </c>
      <c r="E14" s="16"/>
    </row>
    <row r="15" customFormat="false" ht="15" hidden="false" customHeight="false" outlineLevel="0" collapsed="false">
      <c r="A15" s="16" t="s">
        <v>218</v>
      </c>
      <c r="B15" s="16" t="s">
        <v>219</v>
      </c>
      <c r="C15" s="16" t="s">
        <v>220</v>
      </c>
      <c r="D15" s="16" t="s">
        <v>186</v>
      </c>
      <c r="E15" s="16"/>
    </row>
    <row r="16" customFormat="false" ht="15" hidden="false" customHeight="false" outlineLevel="0" collapsed="false">
      <c r="A16" s="16" t="s">
        <v>221</v>
      </c>
      <c r="B16" s="16" t="s">
        <v>222</v>
      </c>
      <c r="C16" s="16" t="s">
        <v>223</v>
      </c>
      <c r="D16" s="16" t="s">
        <v>224</v>
      </c>
      <c r="E16" s="16" t="s">
        <v>225</v>
      </c>
    </row>
    <row r="17" customFormat="false" ht="15" hidden="false" customHeight="false" outlineLevel="0" collapsed="false">
      <c r="A17" s="16" t="s">
        <v>226</v>
      </c>
      <c r="B17" s="16" t="s">
        <v>227</v>
      </c>
      <c r="C17" s="16" t="s">
        <v>228</v>
      </c>
      <c r="D17" s="16" t="s">
        <v>224</v>
      </c>
      <c r="E17" s="16"/>
    </row>
    <row r="18" customFormat="false" ht="15" hidden="false" customHeight="false" outlineLevel="0" collapsed="false">
      <c r="A18" s="16" t="s">
        <v>229</v>
      </c>
      <c r="B18" s="16" t="s">
        <v>230</v>
      </c>
      <c r="C18" s="16" t="s">
        <v>231</v>
      </c>
      <c r="D18" s="16" t="s">
        <v>232</v>
      </c>
      <c r="E18" s="16"/>
    </row>
    <row r="19" customFormat="false" ht="15" hidden="false" customHeight="false" outlineLevel="0" collapsed="false">
      <c r="A19" s="16" t="s">
        <v>233</v>
      </c>
      <c r="B19" s="16" t="s">
        <v>234</v>
      </c>
      <c r="C19" s="16" t="s">
        <v>235</v>
      </c>
      <c r="D19" s="16" t="s">
        <v>208</v>
      </c>
      <c r="E19" s="16"/>
    </row>
    <row r="20" customFormat="false" ht="15" hidden="false" customHeight="false" outlineLevel="0" collapsed="false">
      <c r="A20" s="16" t="s">
        <v>236</v>
      </c>
      <c r="B20" s="16" t="s">
        <v>237</v>
      </c>
      <c r="C20" s="16" t="s">
        <v>238</v>
      </c>
      <c r="D20" s="16" t="s">
        <v>208</v>
      </c>
      <c r="E20" s="16"/>
    </row>
    <row r="21" customFormat="false" ht="15" hidden="false" customHeight="false" outlineLevel="0" collapsed="false">
      <c r="A21" s="16" t="s">
        <v>239</v>
      </c>
      <c r="B21" s="16" t="s">
        <v>240</v>
      </c>
      <c r="C21" s="16" t="s">
        <v>241</v>
      </c>
      <c r="D21" s="16" t="s">
        <v>208</v>
      </c>
      <c r="E21" s="16"/>
    </row>
    <row r="22" customFormat="false" ht="15" hidden="false" customHeight="false" outlineLevel="0" collapsed="false">
      <c r="A22" s="16" t="s">
        <v>242</v>
      </c>
      <c r="B22" s="16" t="s">
        <v>243</v>
      </c>
      <c r="C22" s="16" t="s">
        <v>244</v>
      </c>
      <c r="D22" s="16" t="s">
        <v>245</v>
      </c>
      <c r="E22" s="16"/>
    </row>
    <row r="23" customFormat="false" ht="15" hidden="false" customHeight="false" outlineLevel="0" collapsed="false">
      <c r="A23" s="16" t="s">
        <v>246</v>
      </c>
      <c r="B23" s="16" t="s">
        <v>247</v>
      </c>
      <c r="C23" s="16" t="s">
        <v>248</v>
      </c>
      <c r="D23" s="16" t="s">
        <v>208</v>
      </c>
      <c r="E23" s="16"/>
    </row>
    <row r="24" customFormat="false" ht="15" hidden="false" customHeight="false" outlineLevel="0" collapsed="false">
      <c r="A24" s="16" t="s">
        <v>249</v>
      </c>
      <c r="B24" s="16" t="s">
        <v>250</v>
      </c>
      <c r="C24" s="16" t="s">
        <v>251</v>
      </c>
      <c r="D24" s="16" t="s">
        <v>208</v>
      </c>
      <c r="E24" s="16"/>
    </row>
    <row r="25" customFormat="false" ht="15" hidden="false" customHeight="false" outlineLevel="0" collapsed="false">
      <c r="A25" s="16" t="s">
        <v>252</v>
      </c>
      <c r="B25" s="16" t="s">
        <v>253</v>
      </c>
      <c r="C25" s="16" t="s">
        <v>254</v>
      </c>
      <c r="D25" s="16" t="s">
        <v>208</v>
      </c>
      <c r="E25" s="16"/>
    </row>
    <row r="26" customFormat="false" ht="15" hidden="false" customHeight="false" outlineLevel="0" collapsed="false">
      <c r="A26" s="16" t="s">
        <v>255</v>
      </c>
      <c r="B26" s="16" t="s">
        <v>256</v>
      </c>
      <c r="C26" s="16" t="s">
        <v>257</v>
      </c>
      <c r="D26" s="16" t="s">
        <v>245</v>
      </c>
      <c r="E26" s="16"/>
    </row>
    <row r="27" customFormat="false" ht="15" hidden="false" customHeight="false" outlineLevel="0" collapsed="false">
      <c r="A27" s="16" t="s">
        <v>258</v>
      </c>
      <c r="B27" s="16" t="s">
        <v>259</v>
      </c>
      <c r="C27" s="16" t="s">
        <v>260</v>
      </c>
      <c r="D27" s="16" t="s">
        <v>208</v>
      </c>
      <c r="E27" s="16"/>
    </row>
    <row r="28" customFormat="false" ht="15" hidden="false" customHeight="false" outlineLevel="0" collapsed="false">
      <c r="A28" s="16" t="s">
        <v>261</v>
      </c>
      <c r="B28" s="16" t="s">
        <v>262</v>
      </c>
      <c r="C28" s="16" t="s">
        <v>263</v>
      </c>
      <c r="D28" s="16" t="s">
        <v>208</v>
      </c>
      <c r="E28" s="16"/>
    </row>
    <row r="29" customFormat="false" ht="15" hidden="false" customHeight="false" outlineLevel="0" collapsed="false">
      <c r="A29" s="16" t="s">
        <v>264</v>
      </c>
      <c r="B29" s="16" t="s">
        <v>265</v>
      </c>
      <c r="C29" s="16" t="s">
        <v>266</v>
      </c>
      <c r="D29" s="16" t="s">
        <v>208</v>
      </c>
      <c r="E29" s="16"/>
    </row>
    <row r="30" customFormat="false" ht="15" hidden="false" customHeight="false" outlineLevel="0" collapsed="false">
      <c r="A30" s="16" t="s">
        <v>267</v>
      </c>
      <c r="B30" s="16" t="s">
        <v>268</v>
      </c>
      <c r="C30" s="16" t="s">
        <v>269</v>
      </c>
      <c r="D30" s="16" t="s">
        <v>245</v>
      </c>
      <c r="E30" s="16"/>
    </row>
    <row r="31" customFormat="false" ht="15" hidden="false" customHeight="false" outlineLevel="0" collapsed="false">
      <c r="A31" s="16" t="s">
        <v>270</v>
      </c>
      <c r="B31" s="16" t="s">
        <v>271</v>
      </c>
      <c r="C31" s="16" t="s">
        <v>272</v>
      </c>
      <c r="D31" s="16" t="s">
        <v>208</v>
      </c>
      <c r="E31" s="16"/>
    </row>
    <row r="32" customFormat="false" ht="15" hidden="false" customHeight="false" outlineLevel="0" collapsed="false">
      <c r="A32" s="16" t="s">
        <v>273</v>
      </c>
      <c r="B32" s="16" t="s">
        <v>274</v>
      </c>
      <c r="C32" s="16" t="s">
        <v>275</v>
      </c>
      <c r="D32" s="16" t="s">
        <v>208</v>
      </c>
      <c r="E32" s="16"/>
    </row>
    <row r="33" customFormat="false" ht="15" hidden="false" customHeight="false" outlineLevel="0" collapsed="false">
      <c r="A33" s="16" t="s">
        <v>276</v>
      </c>
      <c r="B33" s="16" t="s">
        <v>277</v>
      </c>
      <c r="C33" s="16" t="s">
        <v>278</v>
      </c>
      <c r="D33" s="16" t="s">
        <v>208</v>
      </c>
      <c r="E33" s="16"/>
    </row>
    <row r="34" customFormat="false" ht="15" hidden="false" customHeight="false" outlineLevel="0" collapsed="false">
      <c r="A34" s="16" t="s">
        <v>279</v>
      </c>
      <c r="B34" s="16" t="s">
        <v>280</v>
      </c>
      <c r="C34" s="16" t="s">
        <v>281</v>
      </c>
      <c r="D34" s="16" t="s">
        <v>245</v>
      </c>
      <c r="E34" s="16"/>
    </row>
    <row r="35" customFormat="false" ht="15" hidden="false" customHeight="false" outlineLevel="0" collapsed="false">
      <c r="A35" s="16" t="s">
        <v>282</v>
      </c>
      <c r="B35" s="16" t="s">
        <v>283</v>
      </c>
      <c r="C35" s="16" t="s">
        <v>284</v>
      </c>
      <c r="D35" s="16" t="s">
        <v>208</v>
      </c>
      <c r="E35" s="16"/>
    </row>
    <row r="36" customFormat="false" ht="15" hidden="false" customHeight="false" outlineLevel="0" collapsed="false">
      <c r="A36" s="16" t="s">
        <v>285</v>
      </c>
      <c r="B36" s="16" t="s">
        <v>286</v>
      </c>
      <c r="C36" s="16" t="s">
        <v>287</v>
      </c>
      <c r="D36" s="16" t="s">
        <v>208</v>
      </c>
      <c r="E36" s="16"/>
    </row>
    <row r="37" customFormat="false" ht="15" hidden="false" customHeight="false" outlineLevel="0" collapsed="false">
      <c r="A37" s="16" t="s">
        <v>288</v>
      </c>
      <c r="B37" s="16" t="s">
        <v>289</v>
      </c>
      <c r="C37" s="16" t="s">
        <v>290</v>
      </c>
      <c r="D37" s="16" t="s">
        <v>208</v>
      </c>
      <c r="E37" s="16"/>
    </row>
    <row r="38" customFormat="false" ht="15" hidden="false" customHeight="false" outlineLevel="0" collapsed="false">
      <c r="A38" s="16" t="s">
        <v>291</v>
      </c>
      <c r="B38" s="16" t="s">
        <v>292</v>
      </c>
      <c r="C38" s="16" t="s">
        <v>293</v>
      </c>
      <c r="D38" s="16" t="s">
        <v>245</v>
      </c>
      <c r="E38" s="16"/>
    </row>
    <row r="39" customFormat="false" ht="15" hidden="false" customHeight="false" outlineLevel="0" collapsed="false">
      <c r="A39" s="16" t="s">
        <v>294</v>
      </c>
      <c r="B39" s="16" t="s">
        <v>295</v>
      </c>
      <c r="C39" s="16" t="s">
        <v>296</v>
      </c>
      <c r="D39" s="16" t="s">
        <v>208</v>
      </c>
      <c r="E39" s="16"/>
    </row>
    <row r="40" customFormat="false" ht="15" hidden="false" customHeight="false" outlineLevel="0" collapsed="false">
      <c r="A40" s="16" t="s">
        <v>297</v>
      </c>
      <c r="B40" s="16" t="s">
        <v>298</v>
      </c>
      <c r="C40" s="16" t="s">
        <v>299</v>
      </c>
      <c r="D40" s="16" t="s">
        <v>208</v>
      </c>
      <c r="E40" s="16"/>
    </row>
    <row r="41" customFormat="false" ht="15" hidden="false" customHeight="false" outlineLevel="0" collapsed="false">
      <c r="A41" s="16" t="s">
        <v>300</v>
      </c>
      <c r="B41" s="16" t="s">
        <v>301</v>
      </c>
      <c r="C41" s="16" t="s">
        <v>302</v>
      </c>
      <c r="D41" s="16" t="s">
        <v>208</v>
      </c>
      <c r="E41" s="16"/>
    </row>
    <row r="42" customFormat="false" ht="15" hidden="false" customHeight="false" outlineLevel="0" collapsed="false">
      <c r="A42" s="16" t="s">
        <v>303</v>
      </c>
      <c r="B42" s="16" t="s">
        <v>304</v>
      </c>
      <c r="C42" s="16" t="s">
        <v>305</v>
      </c>
      <c r="D42" s="16" t="s">
        <v>245</v>
      </c>
      <c r="E42" s="16"/>
    </row>
    <row r="43" customFormat="false" ht="15" hidden="false" customHeight="false" outlineLevel="0" collapsed="false">
      <c r="A43" s="16" t="s">
        <v>306</v>
      </c>
      <c r="B43" s="16" t="s">
        <v>307</v>
      </c>
      <c r="C43" s="16" t="s">
        <v>308</v>
      </c>
      <c r="D43" s="16" t="s">
        <v>208</v>
      </c>
      <c r="E43" s="16"/>
    </row>
    <row r="44" customFormat="false" ht="15" hidden="false" customHeight="false" outlineLevel="0" collapsed="false">
      <c r="A44" s="16" t="s">
        <v>309</v>
      </c>
      <c r="B44" s="16" t="s">
        <v>310</v>
      </c>
      <c r="C44" s="16" t="s">
        <v>311</v>
      </c>
      <c r="D44" s="16" t="s">
        <v>208</v>
      </c>
      <c r="E44" s="16"/>
    </row>
    <row r="45" customFormat="false" ht="15" hidden="false" customHeight="false" outlineLevel="0" collapsed="false">
      <c r="A45" s="16" t="s">
        <v>312</v>
      </c>
      <c r="B45" s="16" t="s">
        <v>313</v>
      </c>
      <c r="C45" s="16" t="s">
        <v>314</v>
      </c>
      <c r="D45" s="16" t="s">
        <v>208</v>
      </c>
      <c r="E45" s="16"/>
    </row>
    <row r="46" customFormat="false" ht="15" hidden="false" customHeight="false" outlineLevel="0" collapsed="false">
      <c r="A46" s="16" t="s">
        <v>315</v>
      </c>
      <c r="B46" s="16" t="s">
        <v>316</v>
      </c>
      <c r="C46" s="16" t="s">
        <v>317</v>
      </c>
      <c r="D46" s="16" t="s">
        <v>208</v>
      </c>
      <c r="E46" s="16"/>
    </row>
    <row r="47" customFormat="false" ht="15" hidden="false" customHeight="false" outlineLevel="0" collapsed="false">
      <c r="A47" s="16" t="s">
        <v>318</v>
      </c>
      <c r="B47" s="16" t="s">
        <v>319</v>
      </c>
      <c r="C47" s="16" t="s">
        <v>320</v>
      </c>
      <c r="D47" s="16" t="s">
        <v>208</v>
      </c>
      <c r="E47" s="16"/>
    </row>
    <row r="48" customFormat="false" ht="15" hidden="false" customHeight="false" outlineLevel="0" collapsed="false">
      <c r="A48" s="16" t="s">
        <v>321</v>
      </c>
      <c r="B48" s="16" t="s">
        <v>322</v>
      </c>
      <c r="C48" s="16" t="s">
        <v>323</v>
      </c>
      <c r="D48" s="16" t="s">
        <v>208</v>
      </c>
      <c r="E48" s="16"/>
    </row>
    <row r="49" customFormat="false" ht="15" hidden="false" customHeight="false" outlineLevel="0" collapsed="false">
      <c r="A49" s="16" t="s">
        <v>324</v>
      </c>
      <c r="B49" s="16" t="s">
        <v>325</v>
      </c>
      <c r="C49" s="16" t="s">
        <v>326</v>
      </c>
      <c r="D49" s="16" t="s">
        <v>186</v>
      </c>
      <c r="E49" s="16"/>
    </row>
    <row r="50" customFormat="false" ht="15" hidden="false" customHeight="false" outlineLevel="0" collapsed="false">
      <c r="A50" s="16" t="s">
        <v>327</v>
      </c>
      <c r="B50" s="16" t="s">
        <v>328</v>
      </c>
      <c r="C50" s="16" t="s">
        <v>329</v>
      </c>
      <c r="D50" s="16" t="s">
        <v>208</v>
      </c>
      <c r="E50" s="16"/>
    </row>
    <row r="51" customFormat="false" ht="15" hidden="false" customHeight="false" outlineLevel="0" collapsed="false">
      <c r="A51" s="16" t="s">
        <v>330</v>
      </c>
      <c r="B51" s="16" t="s">
        <v>331</v>
      </c>
      <c r="C51" s="16" t="s">
        <v>332</v>
      </c>
      <c r="D51" s="16" t="s">
        <v>208</v>
      </c>
      <c r="E51" s="16"/>
    </row>
    <row r="52" customFormat="false" ht="15" hidden="false" customHeight="false" outlineLevel="0" collapsed="false">
      <c r="A52" s="16" t="s">
        <v>333</v>
      </c>
      <c r="B52" s="16" t="s">
        <v>334</v>
      </c>
      <c r="C52" s="16" t="s">
        <v>335</v>
      </c>
      <c r="D52" s="16" t="s">
        <v>208</v>
      </c>
      <c r="E52" s="16"/>
    </row>
    <row r="53" customFormat="false" ht="15" hidden="false" customHeight="false" outlineLevel="0" collapsed="false">
      <c r="A53" s="16" t="s">
        <v>336</v>
      </c>
      <c r="B53" s="16" t="s">
        <v>337</v>
      </c>
      <c r="C53" s="16" t="s">
        <v>338</v>
      </c>
      <c r="D53" s="16" t="s">
        <v>186</v>
      </c>
      <c r="E53" s="16"/>
    </row>
    <row r="54" customFormat="false" ht="15" hidden="false" customHeight="false" outlineLevel="0" collapsed="false">
      <c r="A54" s="16" t="s">
        <v>339</v>
      </c>
      <c r="B54" s="16" t="s">
        <v>340</v>
      </c>
      <c r="C54" s="16" t="s">
        <v>341</v>
      </c>
      <c r="D54" s="16" t="s">
        <v>208</v>
      </c>
      <c r="E54" s="16"/>
    </row>
    <row r="55" customFormat="false" ht="15" hidden="false" customHeight="false" outlineLevel="0" collapsed="false">
      <c r="A55" s="16" t="s">
        <v>342</v>
      </c>
      <c r="B55" s="16" t="s">
        <v>343</v>
      </c>
      <c r="C55" s="16" t="s">
        <v>344</v>
      </c>
      <c r="D55" s="16" t="s">
        <v>208</v>
      </c>
      <c r="E55" s="16" t="s">
        <v>345</v>
      </c>
    </row>
    <row r="56" customFormat="false" ht="15" hidden="false" customHeight="false" outlineLevel="0" collapsed="false">
      <c r="A56" s="16" t="s">
        <v>346</v>
      </c>
      <c r="B56" s="16" t="s">
        <v>347</v>
      </c>
      <c r="C56" s="16" t="s">
        <v>348</v>
      </c>
      <c r="D56" s="16" t="s">
        <v>224</v>
      </c>
      <c r="E56" s="16"/>
    </row>
    <row r="57" customFormat="false" ht="15" hidden="false" customHeight="false" outlineLevel="0" collapsed="false">
      <c r="A57" s="16" t="s">
        <v>349</v>
      </c>
      <c r="B57" s="16" t="s">
        <v>350</v>
      </c>
      <c r="C57" s="16" t="s">
        <v>351</v>
      </c>
      <c r="D57" s="16" t="s">
        <v>352</v>
      </c>
      <c r="E57" s="16"/>
    </row>
    <row r="58" customFormat="false" ht="15" hidden="false" customHeight="false" outlineLevel="0" collapsed="false">
      <c r="A58" s="16" t="s">
        <v>353</v>
      </c>
      <c r="B58" s="16" t="s">
        <v>354</v>
      </c>
      <c r="C58" s="16" t="s">
        <v>355</v>
      </c>
      <c r="D58" s="16" t="s">
        <v>356</v>
      </c>
      <c r="E58" s="16"/>
    </row>
    <row r="59" customFormat="false" ht="15" hidden="false" customHeight="false" outlineLevel="0" collapsed="false">
      <c r="A59" s="16" t="s">
        <v>357</v>
      </c>
      <c r="B59" s="16" t="s">
        <v>358</v>
      </c>
      <c r="C59" s="16" t="s">
        <v>359</v>
      </c>
      <c r="D59" s="16" t="s">
        <v>232</v>
      </c>
      <c r="E59" s="16"/>
    </row>
    <row r="60" customFormat="false" ht="15" hidden="false" customHeight="false" outlineLevel="0" collapsed="false">
      <c r="A60" s="16" t="s">
        <v>360</v>
      </c>
      <c r="B60" s="16" t="s">
        <v>361</v>
      </c>
      <c r="C60" s="16" t="s">
        <v>362</v>
      </c>
      <c r="D60" s="16" t="s">
        <v>232</v>
      </c>
      <c r="E60" s="16"/>
    </row>
    <row r="61" customFormat="false" ht="15" hidden="false" customHeight="false" outlineLevel="0" collapsed="false">
      <c r="A61" s="16" t="s">
        <v>363</v>
      </c>
      <c r="B61" s="16" t="s">
        <v>364</v>
      </c>
      <c r="C61" s="16" t="s">
        <v>365</v>
      </c>
      <c r="D61" s="16" t="s">
        <v>186</v>
      </c>
      <c r="E61" s="16" t="s">
        <v>366</v>
      </c>
    </row>
    <row r="62" customFormat="false" ht="15" hidden="false" customHeight="false" outlineLevel="0" collapsed="false">
      <c r="A62" s="16" t="s">
        <v>367</v>
      </c>
      <c r="B62" s="16" t="s">
        <v>368</v>
      </c>
      <c r="C62" s="16" t="s">
        <v>369</v>
      </c>
      <c r="D62" s="16" t="s">
        <v>186</v>
      </c>
      <c r="E62" s="16" t="s">
        <v>366</v>
      </c>
    </row>
    <row r="63" customFormat="false" ht="15" hidden="false" customHeight="false" outlineLevel="0" collapsed="false">
      <c r="A63" s="16" t="s">
        <v>370</v>
      </c>
      <c r="B63" s="16" t="s">
        <v>371</v>
      </c>
      <c r="C63" s="16" t="s">
        <v>372</v>
      </c>
      <c r="D63" s="16" t="s">
        <v>373</v>
      </c>
      <c r="E63" s="16"/>
    </row>
    <row r="64" customFormat="false" ht="15" hidden="false" customHeight="false" outlineLevel="0" collapsed="false">
      <c r="A64" s="16" t="s">
        <v>374</v>
      </c>
      <c r="B64" s="16" t="s">
        <v>375</v>
      </c>
      <c r="C64" s="16" t="s">
        <v>376</v>
      </c>
      <c r="D64" s="16" t="s">
        <v>208</v>
      </c>
      <c r="E64" s="16"/>
    </row>
    <row r="65" customFormat="false" ht="15" hidden="false" customHeight="false" outlineLevel="0" collapsed="false">
      <c r="A65" s="16" t="s">
        <v>377</v>
      </c>
      <c r="B65" s="16" t="s">
        <v>378</v>
      </c>
      <c r="C65" s="16" t="s">
        <v>379</v>
      </c>
      <c r="D65" s="16" t="s">
        <v>380</v>
      </c>
      <c r="E65" s="16"/>
    </row>
    <row r="66" customFormat="false" ht="15" hidden="false" customHeight="false" outlineLevel="0" collapsed="false">
      <c r="A66" s="16" t="s">
        <v>381</v>
      </c>
      <c r="B66" s="16" t="s">
        <v>382</v>
      </c>
      <c r="C66" s="16" t="s">
        <v>383</v>
      </c>
      <c r="D66" s="16" t="s">
        <v>384</v>
      </c>
      <c r="E66" s="16"/>
    </row>
    <row r="67" customFormat="false" ht="15" hidden="false" customHeight="false" outlineLevel="0" collapsed="false">
      <c r="A67" s="16" t="s">
        <v>385</v>
      </c>
      <c r="B67" s="16" t="s">
        <v>386</v>
      </c>
      <c r="C67" s="16" t="s">
        <v>387</v>
      </c>
      <c r="D67" s="16" t="s">
        <v>388</v>
      </c>
      <c r="E67" s="16"/>
    </row>
    <row r="68" customFormat="false" ht="15" hidden="false" customHeight="false" outlineLevel="0" collapsed="false">
      <c r="A68" s="16" t="s">
        <v>389</v>
      </c>
      <c r="B68" s="16" t="s">
        <v>390</v>
      </c>
      <c r="C68" s="16" t="s">
        <v>391</v>
      </c>
      <c r="D68" s="16" t="s">
        <v>224</v>
      </c>
      <c r="E68" s="16"/>
    </row>
    <row r="69" customFormat="false" ht="15" hidden="false" customHeight="false" outlineLevel="0" collapsed="false">
      <c r="A69" s="16" t="s">
        <v>392</v>
      </c>
      <c r="B69" s="16" t="s">
        <v>393</v>
      </c>
      <c r="C69" s="16" t="s">
        <v>394</v>
      </c>
      <c r="D69" s="16" t="s">
        <v>232</v>
      </c>
      <c r="E69" s="16"/>
    </row>
    <row r="70" customFormat="false" ht="15" hidden="false" customHeight="false" outlineLevel="0" collapsed="false">
      <c r="A70" s="16" t="s">
        <v>395</v>
      </c>
      <c r="B70" s="16" t="s">
        <v>396</v>
      </c>
      <c r="C70" s="16" t="s">
        <v>397</v>
      </c>
      <c r="D70" s="16" t="s">
        <v>398</v>
      </c>
      <c r="E70" s="16"/>
    </row>
    <row r="71" customFormat="false" ht="15" hidden="false" customHeight="false" outlineLevel="0" collapsed="false">
      <c r="A71" s="16" t="s">
        <v>399</v>
      </c>
      <c r="B71" s="16" t="s">
        <v>400</v>
      </c>
      <c r="C71" s="16" t="s">
        <v>401</v>
      </c>
      <c r="D71" s="16" t="s">
        <v>402</v>
      </c>
      <c r="E71" s="16"/>
    </row>
    <row r="72" customFormat="false" ht="15" hidden="false" customHeight="false" outlineLevel="0" collapsed="false">
      <c r="A72" s="16" t="s">
        <v>403</v>
      </c>
      <c r="B72" s="16" t="s">
        <v>404</v>
      </c>
      <c r="C72" s="16" t="s">
        <v>405</v>
      </c>
      <c r="D72" s="16" t="s">
        <v>224</v>
      </c>
      <c r="E72" s="16"/>
    </row>
    <row r="73" customFormat="false" ht="15" hidden="false" customHeight="false" outlineLevel="0" collapsed="false">
      <c r="A73" s="16" t="s">
        <v>406</v>
      </c>
      <c r="B73" s="16" t="s">
        <v>407</v>
      </c>
      <c r="C73" s="16" t="s">
        <v>408</v>
      </c>
      <c r="D73" s="16" t="s">
        <v>232</v>
      </c>
      <c r="E73" s="16"/>
    </row>
    <row r="74" customFormat="false" ht="15" hidden="false" customHeight="false" outlineLevel="0" collapsed="false">
      <c r="A74" s="16" t="s">
        <v>409</v>
      </c>
      <c r="B74" s="16" t="s">
        <v>410</v>
      </c>
      <c r="C74" s="16" t="s">
        <v>411</v>
      </c>
      <c r="D74" s="16" t="s">
        <v>224</v>
      </c>
      <c r="E74" s="16"/>
    </row>
    <row r="75" customFormat="false" ht="15" hidden="false" customHeight="false" outlineLevel="0" collapsed="false">
      <c r="A75" s="16" t="s">
        <v>412</v>
      </c>
      <c r="B75" s="16" t="s">
        <v>413</v>
      </c>
      <c r="C75" s="16" t="s">
        <v>414</v>
      </c>
      <c r="D75" s="16" t="s">
        <v>232</v>
      </c>
      <c r="E75" s="16"/>
    </row>
    <row r="76" customFormat="false" ht="15" hidden="false" customHeight="false" outlineLevel="0" collapsed="false">
      <c r="A76" s="16" t="s">
        <v>415</v>
      </c>
      <c r="B76" s="16" t="s">
        <v>416</v>
      </c>
      <c r="C76" s="16" t="s">
        <v>417</v>
      </c>
      <c r="D76" s="16" t="s">
        <v>224</v>
      </c>
      <c r="E76" s="16"/>
    </row>
    <row r="77" customFormat="false" ht="15" hidden="false" customHeight="false" outlineLevel="0" collapsed="false">
      <c r="A77" s="16" t="s">
        <v>418</v>
      </c>
      <c r="B77" s="16" t="s">
        <v>419</v>
      </c>
      <c r="C77" s="16" t="s">
        <v>420</v>
      </c>
      <c r="D77" s="16" t="s">
        <v>232</v>
      </c>
      <c r="E77" s="16"/>
    </row>
    <row r="78" customFormat="false" ht="15" hidden="false" customHeight="false" outlineLevel="0" collapsed="false">
      <c r="A78" s="16" t="s">
        <v>421</v>
      </c>
      <c r="B78" s="16" t="s">
        <v>422</v>
      </c>
      <c r="C78" s="16" t="s">
        <v>423</v>
      </c>
      <c r="D78" s="16" t="s">
        <v>224</v>
      </c>
      <c r="E78" s="16"/>
    </row>
    <row r="79" customFormat="false" ht="15" hidden="false" customHeight="false" outlineLevel="0" collapsed="false">
      <c r="A79" s="16" t="s">
        <v>424</v>
      </c>
      <c r="B79" s="16" t="s">
        <v>425</v>
      </c>
      <c r="C79" s="16" t="s">
        <v>426</v>
      </c>
      <c r="D79" s="16" t="s">
        <v>232</v>
      </c>
      <c r="E79" s="16"/>
    </row>
    <row r="80" customFormat="false" ht="15" hidden="false" customHeight="false" outlineLevel="0" collapsed="false">
      <c r="A80" s="16" t="s">
        <v>427</v>
      </c>
      <c r="B80" s="16" t="s">
        <v>428</v>
      </c>
      <c r="C80" s="16" t="s">
        <v>429</v>
      </c>
      <c r="D80" s="16" t="s">
        <v>224</v>
      </c>
      <c r="E80" s="16"/>
    </row>
    <row r="81" customFormat="false" ht="15" hidden="false" customHeight="false" outlineLevel="0" collapsed="false">
      <c r="A81" s="16" t="s">
        <v>430</v>
      </c>
      <c r="B81" s="16" t="s">
        <v>431</v>
      </c>
      <c r="C81" s="16" t="s">
        <v>432</v>
      </c>
      <c r="D81" s="16" t="s">
        <v>224</v>
      </c>
      <c r="E81" s="16"/>
    </row>
    <row r="82" customFormat="false" ht="15" hidden="false" customHeight="false" outlineLevel="0" collapsed="false">
      <c r="A82" s="16" t="s">
        <v>433</v>
      </c>
      <c r="B82" s="16" t="s">
        <v>434</v>
      </c>
      <c r="C82" s="16" t="s">
        <v>435</v>
      </c>
      <c r="D82" s="16" t="s">
        <v>232</v>
      </c>
      <c r="E82" s="16"/>
    </row>
    <row r="83" customFormat="false" ht="15" hidden="false" customHeight="false" outlineLevel="0" collapsed="false">
      <c r="A83" s="16" t="s">
        <v>436</v>
      </c>
      <c r="B83" s="16" t="s">
        <v>437</v>
      </c>
      <c r="C83" s="16" t="s">
        <v>438</v>
      </c>
      <c r="D83" s="16" t="s">
        <v>224</v>
      </c>
      <c r="E83" s="16"/>
    </row>
    <row r="84" customFormat="false" ht="15" hidden="false" customHeight="false" outlineLevel="0" collapsed="false">
      <c r="A84" s="16" t="s">
        <v>439</v>
      </c>
      <c r="B84" s="16" t="s">
        <v>440</v>
      </c>
      <c r="C84" s="16" t="s">
        <v>441</v>
      </c>
      <c r="D84" s="16" t="s">
        <v>224</v>
      </c>
      <c r="E84" s="16"/>
    </row>
    <row r="85" customFormat="false" ht="15" hidden="false" customHeight="false" outlineLevel="0" collapsed="false">
      <c r="A85" s="16" t="s">
        <v>442</v>
      </c>
      <c r="B85" s="16" t="s">
        <v>443</v>
      </c>
      <c r="C85" s="16" t="s">
        <v>444</v>
      </c>
      <c r="D85" s="16" t="s">
        <v>232</v>
      </c>
      <c r="E85" s="16"/>
    </row>
    <row r="86" customFormat="false" ht="15" hidden="false" customHeight="false" outlineLevel="0" collapsed="false">
      <c r="A86" s="16" t="s">
        <v>445</v>
      </c>
      <c r="B86" s="16" t="s">
        <v>446</v>
      </c>
      <c r="C86" s="16" t="s">
        <v>447</v>
      </c>
      <c r="D86" s="16" t="s">
        <v>224</v>
      </c>
      <c r="E86" s="16"/>
    </row>
    <row r="87" customFormat="false" ht="15" hidden="false" customHeight="false" outlineLevel="0" collapsed="false">
      <c r="A87" s="16" t="s">
        <v>448</v>
      </c>
      <c r="B87" s="16" t="s">
        <v>449</v>
      </c>
      <c r="C87" s="16" t="s">
        <v>450</v>
      </c>
      <c r="D87" s="16" t="s">
        <v>224</v>
      </c>
      <c r="E87" s="16"/>
    </row>
    <row r="88" customFormat="false" ht="15" hidden="false" customHeight="false" outlineLevel="0" collapsed="false">
      <c r="A88" s="16" t="s">
        <v>451</v>
      </c>
      <c r="B88" s="16" t="s">
        <v>452</v>
      </c>
      <c r="C88" s="16" t="s">
        <v>453</v>
      </c>
      <c r="D88" s="16" t="s">
        <v>224</v>
      </c>
      <c r="E88" s="16"/>
    </row>
    <row r="89" customFormat="false" ht="15" hidden="false" customHeight="false" outlineLevel="0" collapsed="false">
      <c r="A89" s="16" t="s">
        <v>454</v>
      </c>
      <c r="B89" s="16" t="s">
        <v>455</v>
      </c>
      <c r="C89" s="16" t="s">
        <v>456</v>
      </c>
      <c r="D89" s="16" t="s">
        <v>224</v>
      </c>
      <c r="E89" s="16"/>
    </row>
    <row r="90" customFormat="false" ht="15" hidden="false" customHeight="false" outlineLevel="0" collapsed="false">
      <c r="A90" s="16" t="s">
        <v>457</v>
      </c>
      <c r="B90" s="16" t="s">
        <v>458</v>
      </c>
      <c r="C90" s="16" t="s">
        <v>459</v>
      </c>
      <c r="D90" s="16" t="s">
        <v>232</v>
      </c>
      <c r="E90" s="16"/>
    </row>
    <row r="91" customFormat="false" ht="15" hidden="false" customHeight="false" outlineLevel="0" collapsed="false">
      <c r="A91" s="16" t="s">
        <v>460</v>
      </c>
      <c r="B91" s="16" t="s">
        <v>461</v>
      </c>
      <c r="C91" s="16" t="s">
        <v>462</v>
      </c>
      <c r="D91" s="16" t="s">
        <v>224</v>
      </c>
      <c r="E91" s="16"/>
    </row>
    <row r="92" customFormat="false" ht="15" hidden="false" customHeight="false" outlineLevel="0" collapsed="false">
      <c r="A92" s="16" t="s">
        <v>463</v>
      </c>
      <c r="B92" s="16" t="s">
        <v>464</v>
      </c>
      <c r="C92" s="16" t="s">
        <v>465</v>
      </c>
      <c r="D92" s="16" t="s">
        <v>186</v>
      </c>
      <c r="E92" s="16"/>
    </row>
    <row r="93" customFormat="false" ht="15" hidden="false" customHeight="false" outlineLevel="0" collapsed="false">
      <c r="A93" s="16" t="s">
        <v>466</v>
      </c>
      <c r="B93" s="16" t="s">
        <v>467</v>
      </c>
      <c r="C93" s="16" t="s">
        <v>468</v>
      </c>
      <c r="D93" s="16" t="s">
        <v>208</v>
      </c>
      <c r="E93" s="16"/>
    </row>
    <row r="94" customFormat="false" ht="15" hidden="false" customHeight="false" outlineLevel="0" collapsed="false">
      <c r="A94" s="16" t="s">
        <v>469</v>
      </c>
      <c r="B94" s="16" t="s">
        <v>470</v>
      </c>
      <c r="C94" s="16" t="s">
        <v>471</v>
      </c>
      <c r="D94" s="16" t="s">
        <v>245</v>
      </c>
      <c r="E94" s="16"/>
    </row>
    <row r="95" customFormat="false" ht="15" hidden="false" customHeight="false" outlineLevel="0" collapsed="false">
      <c r="A95" s="16" t="s">
        <v>472</v>
      </c>
      <c r="B95" s="16" t="s">
        <v>473</v>
      </c>
      <c r="C95" s="16" t="s">
        <v>474</v>
      </c>
      <c r="D95" s="16" t="s">
        <v>245</v>
      </c>
      <c r="E95" s="16"/>
    </row>
    <row r="96" customFormat="false" ht="15" hidden="false" customHeight="false" outlineLevel="0" collapsed="false">
      <c r="A96" s="16" t="s">
        <v>475</v>
      </c>
      <c r="B96" s="16" t="s">
        <v>476</v>
      </c>
      <c r="C96" s="16" t="s">
        <v>477</v>
      </c>
      <c r="D96" s="16" t="s">
        <v>208</v>
      </c>
      <c r="E96" s="16"/>
    </row>
    <row r="97" customFormat="false" ht="15" hidden="false" customHeight="false" outlineLevel="0" collapsed="false">
      <c r="A97" s="16" t="s">
        <v>478</v>
      </c>
      <c r="B97" s="16" t="s">
        <v>479</v>
      </c>
      <c r="C97" s="16" t="s">
        <v>480</v>
      </c>
      <c r="D97" s="16" t="s">
        <v>245</v>
      </c>
      <c r="E97" s="16"/>
    </row>
    <row r="98" customFormat="false" ht="15" hidden="false" customHeight="false" outlineLevel="0" collapsed="false">
      <c r="A98" s="16" t="s">
        <v>481</v>
      </c>
      <c r="B98" s="16" t="s">
        <v>482</v>
      </c>
      <c r="C98" s="16" t="s">
        <v>483</v>
      </c>
      <c r="D98" s="16" t="s">
        <v>245</v>
      </c>
      <c r="E98" s="16"/>
    </row>
    <row r="99" customFormat="false" ht="15" hidden="false" customHeight="false" outlineLevel="0" collapsed="false">
      <c r="A99" s="16" t="s">
        <v>484</v>
      </c>
      <c r="B99" s="16" t="s">
        <v>485</v>
      </c>
      <c r="C99" s="16" t="s">
        <v>486</v>
      </c>
      <c r="D99" s="16" t="s">
        <v>224</v>
      </c>
      <c r="E99" s="16"/>
    </row>
    <row r="100" customFormat="false" ht="15" hidden="false" customHeight="false" outlineLevel="0" collapsed="false">
      <c r="A100" s="16" t="s">
        <v>487</v>
      </c>
      <c r="B100" s="16" t="s">
        <v>488</v>
      </c>
      <c r="C100" s="16" t="s">
        <v>489</v>
      </c>
      <c r="D100" s="16" t="s">
        <v>490</v>
      </c>
      <c r="E100" s="16"/>
    </row>
    <row r="101" customFormat="false" ht="15" hidden="false" customHeight="false" outlineLevel="0" collapsed="false">
      <c r="A101" s="16" t="s">
        <v>491</v>
      </c>
      <c r="B101" s="16" t="s">
        <v>492</v>
      </c>
      <c r="C101" s="16" t="s">
        <v>493</v>
      </c>
      <c r="D101" s="16" t="s">
        <v>494</v>
      </c>
      <c r="E101" s="16"/>
    </row>
    <row r="102" customFormat="false" ht="15" hidden="false" customHeight="false" outlineLevel="0" collapsed="false">
      <c r="A102" s="16" t="s">
        <v>495</v>
      </c>
      <c r="B102" s="16" t="s">
        <v>496</v>
      </c>
      <c r="C102" s="16" t="s">
        <v>497</v>
      </c>
      <c r="D102" s="16" t="s">
        <v>224</v>
      </c>
      <c r="E102" s="16"/>
    </row>
    <row r="103" customFormat="false" ht="15" hidden="false" customHeight="false" outlineLevel="0" collapsed="false">
      <c r="A103" s="16" t="s">
        <v>498</v>
      </c>
      <c r="B103" s="16" t="s">
        <v>499</v>
      </c>
      <c r="C103" s="16" t="s">
        <v>500</v>
      </c>
      <c r="D103" s="16" t="s">
        <v>224</v>
      </c>
      <c r="E103" s="16"/>
    </row>
    <row r="104" customFormat="false" ht="15" hidden="false" customHeight="false" outlineLevel="0" collapsed="false">
      <c r="A104" s="16" t="s">
        <v>501</v>
      </c>
      <c r="B104" s="16" t="s">
        <v>502</v>
      </c>
      <c r="C104" s="16" t="s">
        <v>503</v>
      </c>
      <c r="D104" s="16" t="s">
        <v>224</v>
      </c>
      <c r="E104" s="16"/>
    </row>
    <row r="105" customFormat="false" ht="15" hidden="false" customHeight="false" outlineLevel="0" collapsed="false">
      <c r="A105" s="16" t="s">
        <v>504</v>
      </c>
      <c r="B105" s="16" t="s">
        <v>505</v>
      </c>
      <c r="C105" s="16" t="s">
        <v>506</v>
      </c>
      <c r="D105" s="16" t="s">
        <v>224</v>
      </c>
      <c r="E105" s="16"/>
    </row>
    <row r="106" customFormat="false" ht="15" hidden="false" customHeight="false" outlineLevel="0" collapsed="false">
      <c r="A106" s="16" t="s">
        <v>507</v>
      </c>
      <c r="B106" s="16" t="s">
        <v>508</v>
      </c>
      <c r="C106" s="16" t="s">
        <v>509</v>
      </c>
      <c r="D106" s="16" t="s">
        <v>208</v>
      </c>
      <c r="E106" s="16"/>
    </row>
    <row r="107" customFormat="false" ht="15" hidden="false" customHeight="false" outlineLevel="0" collapsed="false">
      <c r="A107" s="16" t="s">
        <v>510</v>
      </c>
      <c r="B107" s="16" t="s">
        <v>511</v>
      </c>
      <c r="C107" s="16" t="s">
        <v>512</v>
      </c>
      <c r="D107" s="16" t="s">
        <v>208</v>
      </c>
      <c r="E107" s="16"/>
    </row>
    <row r="108" customFormat="false" ht="15" hidden="false" customHeight="false" outlineLevel="0" collapsed="false">
      <c r="A108" s="16" t="s">
        <v>513</v>
      </c>
      <c r="B108" s="16" t="s">
        <v>514</v>
      </c>
      <c r="C108" s="16" t="s">
        <v>515</v>
      </c>
      <c r="D108" s="16" t="s">
        <v>208</v>
      </c>
      <c r="E108" s="16"/>
    </row>
    <row r="109" customFormat="false" ht="15" hidden="false" customHeight="false" outlineLevel="0" collapsed="false">
      <c r="A109" s="16" t="s">
        <v>516</v>
      </c>
      <c r="B109" s="16" t="s">
        <v>517</v>
      </c>
      <c r="C109" s="16" t="s">
        <v>518</v>
      </c>
      <c r="D109" s="16" t="s">
        <v>208</v>
      </c>
      <c r="E109" s="16"/>
    </row>
    <row r="110" customFormat="false" ht="15" hidden="false" customHeight="false" outlineLevel="0" collapsed="false">
      <c r="A110" s="16" t="s">
        <v>519</v>
      </c>
      <c r="B110" s="16" t="s">
        <v>520</v>
      </c>
      <c r="C110" s="16" t="s">
        <v>521</v>
      </c>
      <c r="D110" s="16" t="s">
        <v>208</v>
      </c>
      <c r="E110" s="16"/>
    </row>
    <row r="111" customFormat="false" ht="15" hidden="false" customHeight="false" outlineLevel="0" collapsed="false">
      <c r="A111" s="16" t="s">
        <v>522</v>
      </c>
      <c r="B111" s="16" t="s">
        <v>523</v>
      </c>
      <c r="C111" s="16" t="s">
        <v>524</v>
      </c>
      <c r="D111" s="16" t="s">
        <v>224</v>
      </c>
      <c r="E111" s="16"/>
    </row>
    <row r="112" customFormat="false" ht="15" hidden="false" customHeight="false" outlineLevel="0" collapsed="false">
      <c r="A112" s="16" t="s">
        <v>525</v>
      </c>
      <c r="B112" s="16" t="s">
        <v>526</v>
      </c>
      <c r="C112" s="16" t="s">
        <v>527</v>
      </c>
      <c r="D112" s="16" t="s">
        <v>232</v>
      </c>
      <c r="E112" s="16"/>
    </row>
    <row r="113" customFormat="false" ht="15" hidden="false" customHeight="false" outlineLevel="0" collapsed="false">
      <c r="A113" s="16" t="s">
        <v>528</v>
      </c>
      <c r="B113" s="16" t="s">
        <v>529</v>
      </c>
      <c r="C113" s="16" t="s">
        <v>530</v>
      </c>
      <c r="D113" s="16" t="s">
        <v>232</v>
      </c>
      <c r="E113" s="16"/>
    </row>
    <row r="114" customFormat="false" ht="15" hidden="false" customHeight="false" outlineLevel="0" collapsed="false">
      <c r="A114" s="16" t="s">
        <v>531</v>
      </c>
      <c r="B114" s="16" t="s">
        <v>532</v>
      </c>
      <c r="C114" s="16" t="s">
        <v>533</v>
      </c>
      <c r="D114" s="16" t="s">
        <v>224</v>
      </c>
      <c r="E114" s="16"/>
    </row>
    <row r="115" customFormat="false" ht="15" hidden="false" customHeight="false" outlineLevel="0" collapsed="false">
      <c r="A115" s="16" t="s">
        <v>534</v>
      </c>
      <c r="B115" s="16" t="s">
        <v>535</v>
      </c>
      <c r="C115" s="16" t="s">
        <v>536</v>
      </c>
      <c r="D115" s="16" t="s">
        <v>224</v>
      </c>
      <c r="E115" s="16"/>
    </row>
    <row r="116" customFormat="false" ht="15" hidden="false" customHeight="false" outlineLevel="0" collapsed="false">
      <c r="A116" s="16" t="s">
        <v>537</v>
      </c>
      <c r="B116" s="16" t="s">
        <v>538</v>
      </c>
      <c r="C116" s="16" t="s">
        <v>539</v>
      </c>
      <c r="D116" s="16" t="s">
        <v>208</v>
      </c>
      <c r="E116" s="16"/>
    </row>
    <row r="117" customFormat="false" ht="15" hidden="false" customHeight="false" outlineLevel="0" collapsed="false">
      <c r="A117" s="16" t="s">
        <v>540</v>
      </c>
      <c r="B117" s="16" t="s">
        <v>541</v>
      </c>
      <c r="C117" s="16" t="s">
        <v>542</v>
      </c>
      <c r="D117" s="16" t="s">
        <v>208</v>
      </c>
      <c r="E117" s="16"/>
    </row>
    <row r="118" customFormat="false" ht="15" hidden="false" customHeight="false" outlineLevel="0" collapsed="false">
      <c r="A118" s="16" t="s">
        <v>543</v>
      </c>
      <c r="B118" s="16" t="s">
        <v>544</v>
      </c>
      <c r="C118" s="16" t="s">
        <v>545</v>
      </c>
      <c r="D118" s="16" t="s">
        <v>224</v>
      </c>
      <c r="E118" s="16"/>
    </row>
    <row r="119" customFormat="false" ht="15" hidden="false" customHeight="false" outlineLevel="0" collapsed="false">
      <c r="A119" s="16" t="s">
        <v>546</v>
      </c>
      <c r="B119" s="16" t="s">
        <v>547</v>
      </c>
      <c r="C119" s="16" t="s">
        <v>548</v>
      </c>
      <c r="D119" s="16" t="s">
        <v>224</v>
      </c>
      <c r="E119" s="16"/>
    </row>
    <row r="120" customFormat="false" ht="15" hidden="false" customHeight="false" outlineLevel="0" collapsed="false">
      <c r="A120" s="16" t="s">
        <v>549</v>
      </c>
      <c r="B120" s="16" t="s">
        <v>550</v>
      </c>
      <c r="C120" s="16" t="s">
        <v>551</v>
      </c>
      <c r="D120" s="16" t="s">
        <v>186</v>
      </c>
      <c r="E120" s="16"/>
    </row>
    <row r="121" customFormat="false" ht="15" hidden="false" customHeight="false" outlineLevel="0" collapsed="false">
      <c r="A121" s="16" t="s">
        <v>552</v>
      </c>
      <c r="B121" s="16" t="s">
        <v>553</v>
      </c>
      <c r="C121" s="16" t="s">
        <v>554</v>
      </c>
      <c r="D121" s="16" t="s">
        <v>186</v>
      </c>
      <c r="E121" s="16"/>
    </row>
    <row r="122" customFormat="false" ht="15" hidden="false" customHeight="false" outlineLevel="0" collapsed="false">
      <c r="A122" s="16" t="s">
        <v>555</v>
      </c>
      <c r="B122" s="16" t="s">
        <v>556</v>
      </c>
      <c r="C122" s="16" t="s">
        <v>557</v>
      </c>
      <c r="D122" s="16" t="s">
        <v>186</v>
      </c>
      <c r="E122" s="16"/>
    </row>
    <row r="123" customFormat="false" ht="15" hidden="false" customHeight="false" outlineLevel="0" collapsed="false">
      <c r="A123" s="16" t="s">
        <v>558</v>
      </c>
      <c r="B123" s="16" t="s">
        <v>559</v>
      </c>
      <c r="C123" s="16" t="s">
        <v>560</v>
      </c>
      <c r="D123" s="16" t="s">
        <v>186</v>
      </c>
      <c r="E123" s="16"/>
    </row>
    <row r="124" customFormat="false" ht="15" hidden="false" customHeight="false" outlineLevel="0" collapsed="false">
      <c r="A124" s="16" t="s">
        <v>561</v>
      </c>
      <c r="B124" s="16" t="s">
        <v>562</v>
      </c>
      <c r="C124" s="16" t="s">
        <v>563</v>
      </c>
      <c r="D124" s="16" t="s">
        <v>186</v>
      </c>
      <c r="E124" s="16"/>
    </row>
    <row r="125" customFormat="false" ht="15" hidden="false" customHeight="false" outlineLevel="0" collapsed="false">
      <c r="A125" s="16" t="s">
        <v>564</v>
      </c>
      <c r="B125" s="16" t="s">
        <v>565</v>
      </c>
      <c r="C125" s="16" t="s">
        <v>566</v>
      </c>
      <c r="D125" s="16" t="s">
        <v>567</v>
      </c>
      <c r="E125" s="16"/>
    </row>
    <row r="126" customFormat="false" ht="15" hidden="false" customHeight="false" outlineLevel="0" collapsed="false">
      <c r="A126" s="16" t="s">
        <v>568</v>
      </c>
      <c r="B126" s="16" t="s">
        <v>569</v>
      </c>
      <c r="C126" s="16" t="s">
        <v>570</v>
      </c>
      <c r="D126" s="16" t="s">
        <v>567</v>
      </c>
      <c r="E126" s="16"/>
    </row>
    <row r="127" customFormat="false" ht="15" hidden="false" customHeight="false" outlineLevel="0" collapsed="false">
      <c r="A127" s="16" t="s">
        <v>571</v>
      </c>
      <c r="B127" s="16" t="s">
        <v>572</v>
      </c>
      <c r="C127" s="16" t="s">
        <v>573</v>
      </c>
      <c r="D127" s="16" t="s">
        <v>567</v>
      </c>
      <c r="E127" s="16"/>
    </row>
    <row r="128" customFormat="false" ht="15" hidden="false" customHeight="false" outlineLevel="0" collapsed="false">
      <c r="A128" s="16" t="s">
        <v>574</v>
      </c>
      <c r="B128" s="16" t="s">
        <v>575</v>
      </c>
      <c r="C128" s="16" t="s">
        <v>576</v>
      </c>
      <c r="D128" s="16" t="s">
        <v>567</v>
      </c>
      <c r="E128" s="16"/>
    </row>
    <row r="129" customFormat="false" ht="15" hidden="false" customHeight="false" outlineLevel="0" collapsed="false">
      <c r="A129" s="16" t="s">
        <v>577</v>
      </c>
      <c r="B129" s="16" t="s">
        <v>578</v>
      </c>
      <c r="C129" s="16" t="s">
        <v>579</v>
      </c>
      <c r="D129" s="16" t="s">
        <v>567</v>
      </c>
      <c r="E129" s="16"/>
    </row>
    <row r="130" customFormat="false" ht="15" hidden="false" customHeight="false" outlineLevel="0" collapsed="false">
      <c r="A130" s="16" t="s">
        <v>580</v>
      </c>
      <c r="B130" s="16" t="s">
        <v>581</v>
      </c>
      <c r="C130" s="16" t="s">
        <v>582</v>
      </c>
      <c r="D130" s="16" t="s">
        <v>567</v>
      </c>
      <c r="E130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F3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0" width="16"/>
    <col collapsed="false" customWidth="true" hidden="false" outlineLevel="0" max="24" min="24" style="0" width="18"/>
    <col collapsed="false" customWidth="true" hidden="false" outlineLevel="0" max="31" min="25" style="0" width="16"/>
    <col collapsed="false" customWidth="true" hidden="false" outlineLevel="0" max="32" min="32" style="0" width="28"/>
    <col collapsed="false" customWidth="true" hidden="false" outlineLevel="0" max="58" min="33" style="0" width="16"/>
  </cols>
  <sheetData>
    <row r="1" customFormat="false" ht="15" hidden="false" customHeight="false" outlineLevel="0" collapsed="false">
      <c r="A1" s="17" t="s">
        <v>6</v>
      </c>
      <c r="B1" s="17" t="s">
        <v>583</v>
      </c>
      <c r="C1" s="17" t="s">
        <v>584</v>
      </c>
      <c r="D1" s="17" t="s">
        <v>585</v>
      </c>
      <c r="E1" s="17" t="s">
        <v>586</v>
      </c>
      <c r="G1" s="17" t="s">
        <v>7</v>
      </c>
      <c r="H1" s="17" t="s">
        <v>6</v>
      </c>
      <c r="J1" s="17" t="s">
        <v>21</v>
      </c>
      <c r="K1" s="17" t="s">
        <v>74</v>
      </c>
      <c r="L1" s="17" t="s">
        <v>587</v>
      </c>
      <c r="N1" s="17" t="s">
        <v>24</v>
      </c>
      <c r="O1" s="17" t="s">
        <v>21</v>
      </c>
      <c r="Q1" s="17" t="s">
        <v>116</v>
      </c>
      <c r="R1" s="17" t="s">
        <v>588</v>
      </c>
      <c r="S1" s="17" t="s">
        <v>117</v>
      </c>
      <c r="T1" s="17" t="s">
        <v>118</v>
      </c>
      <c r="U1" s="17" t="s">
        <v>589</v>
      </c>
      <c r="V1" s="17" t="s">
        <v>40</v>
      </c>
      <c r="X1" s="17" t="s">
        <v>127</v>
      </c>
      <c r="Y1" s="17" t="s">
        <v>588</v>
      </c>
      <c r="Z1" s="17" t="s">
        <v>131</v>
      </c>
      <c r="AA1" s="17" t="s">
        <v>132</v>
      </c>
      <c r="AB1" s="17" t="s">
        <v>133</v>
      </c>
      <c r="AC1" s="17" t="s">
        <v>590</v>
      </c>
      <c r="AD1" s="17" t="s">
        <v>40</v>
      </c>
      <c r="AF1" s="17" t="s">
        <v>100</v>
      </c>
      <c r="AG1" s="17" t="s">
        <v>8</v>
      </c>
      <c r="AH1" s="17" t="s">
        <v>101</v>
      </c>
      <c r="AI1" s="17" t="s">
        <v>591</v>
      </c>
      <c r="AJ1" s="17" t="s">
        <v>103</v>
      </c>
      <c r="AK1" s="17" t="s">
        <v>592</v>
      </c>
      <c r="AL1" s="17" t="s">
        <v>593</v>
      </c>
      <c r="AM1" s="17" t="s">
        <v>594</v>
      </c>
      <c r="AN1" s="17" t="s">
        <v>104</v>
      </c>
      <c r="AO1" s="17" t="s">
        <v>595</v>
      </c>
      <c r="AQ1" s="17" t="s">
        <v>9</v>
      </c>
      <c r="AR1" s="17" t="s">
        <v>10</v>
      </c>
      <c r="AT1" s="17" t="s">
        <v>28</v>
      </c>
      <c r="AU1" s="17" t="s">
        <v>245</v>
      </c>
      <c r="AV1" s="17" t="s">
        <v>11</v>
      </c>
      <c r="AW1" s="17" t="s">
        <v>95</v>
      </c>
      <c r="AX1" s="17" t="s">
        <v>596</v>
      </c>
      <c r="AY1" s="17" t="s">
        <v>132</v>
      </c>
      <c r="AZ1" s="17" t="s">
        <v>597</v>
      </c>
      <c r="BA1" s="17" t="s">
        <v>10</v>
      </c>
      <c r="BB1" s="17" t="s">
        <v>74</v>
      </c>
      <c r="BC1" s="17" t="s">
        <v>152</v>
      </c>
      <c r="BD1" s="17" t="s">
        <v>598</v>
      </c>
      <c r="BE1" s="17" t="s">
        <v>146</v>
      </c>
      <c r="BF1" s="17" t="s">
        <v>583</v>
      </c>
    </row>
    <row r="2" customFormat="false" ht="15" hidden="false" customHeight="false" outlineLevel="0" collapsed="false">
      <c r="A2" s="16" t="s">
        <v>599</v>
      </c>
      <c r="B2" s="16" t="n">
        <v>12</v>
      </c>
      <c r="C2" s="16"/>
      <c r="D2" s="16" t="s">
        <v>27</v>
      </c>
      <c r="E2" s="16" t="s">
        <v>58</v>
      </c>
      <c r="G2" s="16" t="s">
        <v>600</v>
      </c>
      <c r="H2" s="16" t="s">
        <v>599</v>
      </c>
      <c r="J2" s="16" t="s">
        <v>601</v>
      </c>
      <c r="K2" s="16" t="s">
        <v>602</v>
      </c>
      <c r="L2" s="16" t="n">
        <v>25</v>
      </c>
      <c r="N2" s="16" t="s">
        <v>603</v>
      </c>
      <c r="O2" s="16" t="s">
        <v>601</v>
      </c>
      <c r="Q2" s="16" t="s">
        <v>604</v>
      </c>
      <c r="R2" s="16" t="s">
        <v>605</v>
      </c>
      <c r="S2" s="16" t="n">
        <v>11</v>
      </c>
      <c r="T2" s="16"/>
      <c r="U2" s="16" t="s">
        <v>121</v>
      </c>
      <c r="V2" s="16" t="n">
        <v>8</v>
      </c>
      <c r="X2" s="16" t="s">
        <v>606</v>
      </c>
      <c r="Y2" s="16" t="s">
        <v>607</v>
      </c>
      <c r="Z2" s="16" t="s">
        <v>608</v>
      </c>
      <c r="AA2" s="16" t="s">
        <v>609</v>
      </c>
      <c r="AB2" s="16" t="s">
        <v>605</v>
      </c>
      <c r="AC2" s="16" t="s">
        <v>27</v>
      </c>
      <c r="AD2" s="16" t="n">
        <v>2</v>
      </c>
      <c r="AF2" s="16" t="s">
        <v>610</v>
      </c>
      <c r="AG2" s="16" t="n">
        <v>0</v>
      </c>
      <c r="AH2" s="16" t="s">
        <v>611</v>
      </c>
      <c r="AI2" s="16" t="s">
        <v>612</v>
      </c>
      <c r="AJ2" s="16" t="s">
        <v>613</v>
      </c>
      <c r="AK2" s="16" t="s">
        <v>614</v>
      </c>
      <c r="AL2" s="16" t="s">
        <v>615</v>
      </c>
      <c r="AM2" s="16" t="s">
        <v>122</v>
      </c>
      <c r="AN2" s="16" t="s">
        <v>122</v>
      </c>
      <c r="AO2" s="16" t="s">
        <v>616</v>
      </c>
      <c r="AQ2" s="16" t="s">
        <v>15</v>
      </c>
      <c r="AR2" s="16" t="s">
        <v>16</v>
      </c>
      <c r="AT2" s="16" t="s">
        <v>617</v>
      </c>
      <c r="AU2" s="16" t="s">
        <v>121</v>
      </c>
      <c r="AV2" s="16" t="s">
        <v>17</v>
      </c>
      <c r="AW2" s="16" t="s">
        <v>618</v>
      </c>
      <c r="AX2" s="16" t="s">
        <v>619</v>
      </c>
      <c r="AY2" s="16" t="s">
        <v>620</v>
      </c>
      <c r="AZ2" s="16" t="s">
        <v>621</v>
      </c>
      <c r="BA2" s="16" t="s">
        <v>27</v>
      </c>
      <c r="BB2" s="16" t="s">
        <v>622</v>
      </c>
      <c r="BC2" s="16" t="s">
        <v>623</v>
      </c>
      <c r="BD2" s="16" t="s">
        <v>624</v>
      </c>
      <c r="BE2" s="16" t="s">
        <v>119</v>
      </c>
      <c r="BF2" s="16" t="s">
        <v>625</v>
      </c>
    </row>
    <row r="3" customFormat="false" ht="15" hidden="false" customHeight="false" outlineLevel="0" collapsed="false">
      <c r="A3" s="16" t="s">
        <v>626</v>
      </c>
      <c r="B3" s="16" t="n">
        <v>8</v>
      </c>
      <c r="C3" s="16" t="s">
        <v>31</v>
      </c>
      <c r="D3" s="16" t="s">
        <v>16</v>
      </c>
      <c r="E3" s="16" t="s">
        <v>31</v>
      </c>
      <c r="G3" s="16" t="s">
        <v>627</v>
      </c>
      <c r="H3" s="16" t="s">
        <v>626</v>
      </c>
      <c r="J3" s="16" t="s">
        <v>628</v>
      </c>
      <c r="K3" s="16" t="s">
        <v>602</v>
      </c>
      <c r="L3" s="16" t="n">
        <v>30</v>
      </c>
      <c r="N3" s="16" t="s">
        <v>629</v>
      </c>
      <c r="O3" s="16" t="s">
        <v>628</v>
      </c>
      <c r="Q3" s="16" t="s">
        <v>630</v>
      </c>
      <c r="R3" s="16" t="s">
        <v>605</v>
      </c>
      <c r="S3" s="16" t="n">
        <v>11</v>
      </c>
      <c r="T3" s="16"/>
      <c r="U3" s="16" t="s">
        <v>122</v>
      </c>
      <c r="V3" s="16" t="n">
        <v>10</v>
      </c>
      <c r="X3" s="16" t="s">
        <v>631</v>
      </c>
      <c r="Y3" s="16" t="s">
        <v>607</v>
      </c>
      <c r="Z3" s="16" t="s">
        <v>608</v>
      </c>
      <c r="AA3" s="16" t="s">
        <v>632</v>
      </c>
      <c r="AB3" s="16" t="s">
        <v>633</v>
      </c>
      <c r="AC3" s="16" t="s">
        <v>634</v>
      </c>
      <c r="AD3" s="16" t="n">
        <v>1</v>
      </c>
      <c r="AF3" s="16" t="s">
        <v>635</v>
      </c>
      <c r="AG3" s="16" t="n">
        <v>0</v>
      </c>
      <c r="AH3" s="16" t="s">
        <v>636</v>
      </c>
      <c r="AI3" s="16" t="s">
        <v>612</v>
      </c>
      <c r="AJ3" s="16" t="s">
        <v>637</v>
      </c>
      <c r="AK3" s="16" t="s">
        <v>614</v>
      </c>
      <c r="AL3" s="16" t="s">
        <v>638</v>
      </c>
      <c r="AM3" s="16" t="s">
        <v>122</v>
      </c>
      <c r="AN3" s="16" t="s">
        <v>122</v>
      </c>
      <c r="AO3" s="16" t="s">
        <v>639</v>
      </c>
      <c r="AQ3" s="16" t="s">
        <v>19</v>
      </c>
      <c r="AR3" s="16" t="s">
        <v>20</v>
      </c>
      <c r="AT3" s="16" t="s">
        <v>640</v>
      </c>
      <c r="AU3" s="16" t="s">
        <v>122</v>
      </c>
      <c r="AV3" s="16" t="s">
        <v>641</v>
      </c>
      <c r="AW3" s="16" t="s">
        <v>642</v>
      </c>
      <c r="AX3" s="16" t="s">
        <v>643</v>
      </c>
      <c r="AY3" s="16" t="s">
        <v>609</v>
      </c>
      <c r="AZ3" s="16" t="s">
        <v>644</v>
      </c>
      <c r="BA3" s="16" t="s">
        <v>16</v>
      </c>
      <c r="BB3" s="16" t="s">
        <v>645</v>
      </c>
      <c r="BE3" s="16" t="s">
        <v>646</v>
      </c>
      <c r="BF3" s="16" t="s">
        <v>647</v>
      </c>
    </row>
    <row r="4" customFormat="false" ht="15" hidden="false" customHeight="false" outlineLevel="0" collapsed="false">
      <c r="A4" s="16" t="s">
        <v>648</v>
      </c>
      <c r="B4" s="16" t="n">
        <v>8</v>
      </c>
      <c r="C4" s="16" t="s">
        <v>20</v>
      </c>
      <c r="D4" s="16" t="s">
        <v>20</v>
      </c>
      <c r="E4" s="16" t="s">
        <v>31</v>
      </c>
      <c r="G4" s="16" t="s">
        <v>649</v>
      </c>
      <c r="H4" s="16" t="s">
        <v>648</v>
      </c>
      <c r="J4" s="16" t="s">
        <v>650</v>
      </c>
      <c r="K4" s="16" t="s">
        <v>645</v>
      </c>
      <c r="L4" s="16" t="n">
        <v>25</v>
      </c>
      <c r="N4" s="16" t="s">
        <v>651</v>
      </c>
      <c r="O4" s="16" t="s">
        <v>650</v>
      </c>
      <c r="Q4" s="16" t="s">
        <v>652</v>
      </c>
      <c r="R4" s="16" t="s">
        <v>605</v>
      </c>
      <c r="S4" s="16" t="n">
        <v>12</v>
      </c>
      <c r="T4" s="16"/>
      <c r="U4" s="16" t="s">
        <v>122</v>
      </c>
      <c r="V4" s="16" t="n">
        <v>13</v>
      </c>
      <c r="X4" s="16" t="s">
        <v>653</v>
      </c>
      <c r="Y4" s="16" t="s">
        <v>607</v>
      </c>
      <c r="Z4" s="16" t="s">
        <v>654</v>
      </c>
      <c r="AA4" s="16" t="s">
        <v>609</v>
      </c>
      <c r="AB4" s="16" t="s">
        <v>655</v>
      </c>
      <c r="AC4" s="16" t="s">
        <v>27</v>
      </c>
      <c r="AD4" s="16" t="n">
        <v>10</v>
      </c>
      <c r="AF4" s="16" t="s">
        <v>656</v>
      </c>
      <c r="AG4" s="16" t="n">
        <v>0</v>
      </c>
      <c r="AH4" s="16" t="s">
        <v>657</v>
      </c>
      <c r="AI4" s="16" t="s">
        <v>612</v>
      </c>
      <c r="AJ4" s="16" t="s">
        <v>637</v>
      </c>
      <c r="AK4" s="16" t="s">
        <v>658</v>
      </c>
      <c r="AL4" s="16" t="s">
        <v>659</v>
      </c>
      <c r="AM4" s="16" t="s">
        <v>121</v>
      </c>
      <c r="AN4" s="16" t="s">
        <v>122</v>
      </c>
      <c r="AO4" s="16" t="s">
        <v>660</v>
      </c>
      <c r="AQ4" s="16" t="s">
        <v>22</v>
      </c>
      <c r="AR4" s="16" t="s">
        <v>23</v>
      </c>
      <c r="AT4" s="16" t="s">
        <v>661</v>
      </c>
      <c r="AV4" s="16" t="s">
        <v>662</v>
      </c>
      <c r="AX4" s="16" t="s">
        <v>663</v>
      </c>
      <c r="AY4" s="16" t="s">
        <v>664</v>
      </c>
      <c r="AZ4" s="16" t="s">
        <v>665</v>
      </c>
      <c r="BA4" s="16" t="s">
        <v>58</v>
      </c>
      <c r="BB4" s="16" t="s">
        <v>602</v>
      </c>
      <c r="BE4" s="16" t="s">
        <v>666</v>
      </c>
      <c r="BF4" s="16" t="s">
        <v>667</v>
      </c>
    </row>
    <row r="5" customFormat="false" ht="15" hidden="false" customHeight="false" outlineLevel="0" collapsed="false">
      <c r="A5" s="16" t="s">
        <v>668</v>
      </c>
      <c r="B5" s="16" t="n">
        <v>8</v>
      </c>
      <c r="C5" s="16" t="s">
        <v>20</v>
      </c>
      <c r="D5" s="16" t="s">
        <v>23</v>
      </c>
      <c r="E5" s="16" t="s">
        <v>20</v>
      </c>
      <c r="G5" s="16" t="s">
        <v>669</v>
      </c>
      <c r="H5" s="16" t="s">
        <v>668</v>
      </c>
      <c r="J5" s="16" t="s">
        <v>670</v>
      </c>
      <c r="K5" s="16" t="s">
        <v>602</v>
      </c>
      <c r="L5" s="16" t="n">
        <v>30</v>
      </c>
      <c r="N5" s="16" t="s">
        <v>671</v>
      </c>
      <c r="O5" s="16" t="s">
        <v>672</v>
      </c>
      <c r="Q5" s="16" t="s">
        <v>673</v>
      </c>
      <c r="R5" s="16" t="s">
        <v>602</v>
      </c>
      <c r="S5" s="16" t="n">
        <v>12</v>
      </c>
      <c r="T5" s="16" t="n">
        <v>2</v>
      </c>
      <c r="U5" s="16" t="s">
        <v>122</v>
      </c>
      <c r="V5" s="16" t="n">
        <v>12</v>
      </c>
      <c r="X5" s="16" t="s">
        <v>674</v>
      </c>
      <c r="Y5" s="16" t="s">
        <v>607</v>
      </c>
      <c r="Z5" s="16" t="s">
        <v>675</v>
      </c>
      <c r="AA5" s="16" t="s">
        <v>676</v>
      </c>
      <c r="AB5" s="16" t="s">
        <v>677</v>
      </c>
      <c r="AC5" s="16" t="s">
        <v>27</v>
      </c>
      <c r="AD5" s="16" t="n">
        <v>2</v>
      </c>
      <c r="AF5" s="16" t="s">
        <v>678</v>
      </c>
      <c r="AG5" s="16" t="n">
        <v>0</v>
      </c>
      <c r="AH5" s="16" t="s">
        <v>679</v>
      </c>
      <c r="AI5" s="16" t="s">
        <v>612</v>
      </c>
      <c r="AJ5" s="16" t="s">
        <v>680</v>
      </c>
      <c r="AK5" s="16" t="s">
        <v>614</v>
      </c>
      <c r="AL5" s="16" t="s">
        <v>615</v>
      </c>
      <c r="AM5" s="16" t="s">
        <v>122</v>
      </c>
      <c r="AN5" s="16" t="s">
        <v>122</v>
      </c>
      <c r="AO5" s="16" t="s">
        <v>668</v>
      </c>
      <c r="AQ5" s="16" t="s">
        <v>26</v>
      </c>
      <c r="AR5" s="16" t="s">
        <v>27</v>
      </c>
      <c r="AT5" s="16" t="s">
        <v>681</v>
      </c>
      <c r="AX5" s="16" t="s">
        <v>682</v>
      </c>
      <c r="AY5" s="16" t="s">
        <v>683</v>
      </c>
      <c r="AZ5" s="16" t="s">
        <v>684</v>
      </c>
      <c r="BA5" s="16" t="s">
        <v>23</v>
      </c>
      <c r="BB5" s="16" t="s">
        <v>685</v>
      </c>
      <c r="BE5" s="16" t="s">
        <v>686</v>
      </c>
      <c r="BF5" s="16" t="s">
        <v>687</v>
      </c>
    </row>
    <row r="6" customFormat="false" ht="15" hidden="false" customHeight="false" outlineLevel="0" collapsed="false">
      <c r="A6" s="16" t="s">
        <v>688</v>
      </c>
      <c r="B6" s="16" t="n">
        <v>10</v>
      </c>
      <c r="C6" s="16"/>
      <c r="D6" s="16" t="s">
        <v>27</v>
      </c>
      <c r="E6" s="16" t="s">
        <v>58</v>
      </c>
      <c r="G6" s="16" t="s">
        <v>689</v>
      </c>
      <c r="H6" s="16" t="s">
        <v>688</v>
      </c>
      <c r="J6" s="16" t="s">
        <v>690</v>
      </c>
      <c r="K6" s="16" t="s">
        <v>602</v>
      </c>
      <c r="L6" s="16" t="n">
        <v>30</v>
      </c>
      <c r="Q6" s="16" t="s">
        <v>691</v>
      </c>
      <c r="R6" s="16" t="s">
        <v>602</v>
      </c>
      <c r="S6" s="16" t="n">
        <v>13</v>
      </c>
      <c r="T6" s="16" t="n">
        <v>2</v>
      </c>
      <c r="U6" s="16" t="s">
        <v>122</v>
      </c>
      <c r="V6" s="16" t="n">
        <v>20</v>
      </c>
      <c r="X6" s="16" t="s">
        <v>692</v>
      </c>
      <c r="Y6" s="16" t="s">
        <v>607</v>
      </c>
      <c r="Z6" s="16" t="s">
        <v>675</v>
      </c>
      <c r="AA6" s="16" t="s">
        <v>632</v>
      </c>
      <c r="AB6" s="16" t="s">
        <v>693</v>
      </c>
      <c r="AC6" s="16" t="s">
        <v>27</v>
      </c>
      <c r="AD6" s="16" t="n">
        <v>2</v>
      </c>
      <c r="AF6" s="16" t="s">
        <v>694</v>
      </c>
      <c r="AG6" s="16" t="n">
        <v>0</v>
      </c>
      <c r="AH6" s="16" t="s">
        <v>657</v>
      </c>
      <c r="AI6" s="16" t="s">
        <v>612</v>
      </c>
      <c r="AJ6" s="16" t="s">
        <v>637</v>
      </c>
      <c r="AK6" s="16" t="s">
        <v>614</v>
      </c>
      <c r="AL6" s="16" t="s">
        <v>615</v>
      </c>
      <c r="AM6" s="16" t="s">
        <v>122</v>
      </c>
      <c r="AN6" s="16" t="s">
        <v>122</v>
      </c>
      <c r="AO6" s="16" t="s">
        <v>695</v>
      </c>
      <c r="AQ6" s="16" t="s">
        <v>30</v>
      </c>
      <c r="AR6" s="16" t="s">
        <v>31</v>
      </c>
      <c r="AT6" s="16" t="s">
        <v>696</v>
      </c>
      <c r="AX6" s="16" t="s">
        <v>697</v>
      </c>
      <c r="AY6" s="16" t="s">
        <v>698</v>
      </c>
      <c r="AZ6" s="16" t="s">
        <v>699</v>
      </c>
      <c r="BA6" s="16" t="s">
        <v>20</v>
      </c>
      <c r="BB6" s="16" t="s">
        <v>700</v>
      </c>
      <c r="BE6" s="16" t="s">
        <v>701</v>
      </c>
    </row>
    <row r="7" customFormat="false" ht="15" hidden="false" customHeight="false" outlineLevel="0" collapsed="false">
      <c r="A7" s="16" t="s">
        <v>702</v>
      </c>
      <c r="B7" s="16" t="n">
        <v>8</v>
      </c>
      <c r="C7" s="16"/>
      <c r="D7" s="16" t="s">
        <v>27</v>
      </c>
      <c r="E7" s="16" t="s">
        <v>16</v>
      </c>
      <c r="G7" s="16" t="s">
        <v>703</v>
      </c>
      <c r="H7" s="16" t="s">
        <v>702</v>
      </c>
      <c r="J7" s="16" t="s">
        <v>672</v>
      </c>
      <c r="K7" s="16" t="s">
        <v>645</v>
      </c>
      <c r="L7" s="16" t="n">
        <v>25</v>
      </c>
      <c r="Q7" s="16" t="s">
        <v>704</v>
      </c>
      <c r="R7" s="16" t="s">
        <v>602</v>
      </c>
      <c r="S7" s="16" t="n">
        <v>14</v>
      </c>
      <c r="T7" s="16" t="n">
        <v>2</v>
      </c>
      <c r="U7" s="16" t="s">
        <v>121</v>
      </c>
      <c r="V7" s="16" t="n">
        <v>45</v>
      </c>
      <c r="X7" s="16" t="s">
        <v>705</v>
      </c>
      <c r="Y7" s="16" t="s">
        <v>607</v>
      </c>
      <c r="Z7" s="16" t="s">
        <v>608</v>
      </c>
      <c r="AA7" s="16" t="s">
        <v>609</v>
      </c>
      <c r="AB7" s="16" t="s">
        <v>677</v>
      </c>
      <c r="AC7" s="16" t="s">
        <v>27</v>
      </c>
      <c r="AD7" s="16" t="n">
        <v>2</v>
      </c>
      <c r="AF7" s="16" t="s">
        <v>706</v>
      </c>
      <c r="AG7" s="16" t="n">
        <v>0</v>
      </c>
      <c r="AH7" s="16" t="s">
        <v>657</v>
      </c>
      <c r="AI7" s="16" t="s">
        <v>612</v>
      </c>
      <c r="AJ7" s="16" t="s">
        <v>637</v>
      </c>
      <c r="AK7" s="16" t="s">
        <v>614</v>
      </c>
      <c r="AL7" s="16" t="s">
        <v>615</v>
      </c>
      <c r="AM7" s="16" t="s">
        <v>122</v>
      </c>
      <c r="AN7" s="16" t="s">
        <v>122</v>
      </c>
      <c r="AO7" s="16" t="s">
        <v>616</v>
      </c>
      <c r="AQ7" s="16" t="s">
        <v>33</v>
      </c>
      <c r="AR7" s="16" t="s">
        <v>23</v>
      </c>
      <c r="AT7" s="16" t="s">
        <v>707</v>
      </c>
      <c r="AX7" s="16" t="s">
        <v>708</v>
      </c>
      <c r="AY7" s="16" t="s">
        <v>709</v>
      </c>
      <c r="AZ7" s="16" t="s">
        <v>710</v>
      </c>
      <c r="BA7" s="16" t="s">
        <v>31</v>
      </c>
      <c r="BB7" s="16" t="s">
        <v>711</v>
      </c>
    </row>
    <row r="8" customFormat="false" ht="15" hidden="false" customHeight="false" outlineLevel="0" collapsed="false">
      <c r="A8" s="16" t="s">
        <v>712</v>
      </c>
      <c r="B8" s="16" t="n">
        <v>10</v>
      </c>
      <c r="C8" s="16" t="s">
        <v>31</v>
      </c>
      <c r="D8" s="16" t="s">
        <v>20</v>
      </c>
      <c r="E8" s="16" t="s">
        <v>31</v>
      </c>
      <c r="G8" s="16" t="s">
        <v>713</v>
      </c>
      <c r="H8" s="16" t="s">
        <v>712</v>
      </c>
      <c r="J8" s="16" t="s">
        <v>714</v>
      </c>
      <c r="K8" s="16" t="s">
        <v>602</v>
      </c>
      <c r="L8" s="16" t="n">
        <v>30</v>
      </c>
      <c r="Q8" s="16" t="s">
        <v>715</v>
      </c>
      <c r="R8" s="16" t="s">
        <v>602</v>
      </c>
      <c r="S8" s="16" t="n">
        <v>14</v>
      </c>
      <c r="T8" s="16" t="n">
        <v>2</v>
      </c>
      <c r="U8" s="16" t="s">
        <v>122</v>
      </c>
      <c r="V8" s="16" t="n">
        <v>20</v>
      </c>
      <c r="X8" s="16" t="s">
        <v>716</v>
      </c>
      <c r="Y8" s="16" t="s">
        <v>607</v>
      </c>
      <c r="Z8" s="16" t="s">
        <v>675</v>
      </c>
      <c r="AA8" s="16" t="s">
        <v>609</v>
      </c>
      <c r="AB8" s="16"/>
      <c r="AC8" s="16" t="s">
        <v>27</v>
      </c>
      <c r="AD8" s="16" t="n">
        <v>4</v>
      </c>
      <c r="AF8" s="16" t="s">
        <v>717</v>
      </c>
      <c r="AG8" s="16" t="n">
        <v>0</v>
      </c>
      <c r="AH8" s="16" t="s">
        <v>718</v>
      </c>
      <c r="AI8" s="16" t="s">
        <v>612</v>
      </c>
      <c r="AJ8" s="16" t="s">
        <v>719</v>
      </c>
      <c r="AK8" s="16" t="s">
        <v>614</v>
      </c>
      <c r="AL8" s="16" t="s">
        <v>659</v>
      </c>
      <c r="AM8" s="16" t="s">
        <v>121</v>
      </c>
      <c r="AN8" s="16" t="s">
        <v>122</v>
      </c>
      <c r="AO8" s="16" t="s">
        <v>720</v>
      </c>
      <c r="AQ8" s="16" t="s">
        <v>35</v>
      </c>
      <c r="AR8" s="16" t="s">
        <v>20</v>
      </c>
      <c r="AT8" s="16" t="s">
        <v>721</v>
      </c>
      <c r="AX8" s="16" t="s">
        <v>650</v>
      </c>
      <c r="AY8" s="16" t="s">
        <v>722</v>
      </c>
      <c r="AZ8" s="16" t="s">
        <v>723</v>
      </c>
    </row>
    <row r="9" customFormat="false" ht="15" hidden="false" customHeight="false" outlineLevel="0" collapsed="false">
      <c r="A9" s="16" t="s">
        <v>724</v>
      </c>
      <c r="B9" s="16" t="n">
        <v>10</v>
      </c>
      <c r="C9" s="16" t="s">
        <v>20</v>
      </c>
      <c r="D9" s="16" t="s">
        <v>27</v>
      </c>
      <c r="E9" s="16" t="s">
        <v>16</v>
      </c>
      <c r="G9" s="16" t="s">
        <v>725</v>
      </c>
      <c r="H9" s="16" t="s">
        <v>724</v>
      </c>
      <c r="J9" s="16" t="s">
        <v>726</v>
      </c>
      <c r="K9" s="16" t="s">
        <v>602</v>
      </c>
      <c r="L9" s="16" t="n">
        <v>30</v>
      </c>
      <c r="Q9" s="16" t="s">
        <v>727</v>
      </c>
      <c r="R9" s="16" t="s">
        <v>602</v>
      </c>
      <c r="S9" s="16" t="n">
        <v>15</v>
      </c>
      <c r="T9" s="16" t="n">
        <v>2</v>
      </c>
      <c r="U9" s="16" t="s">
        <v>121</v>
      </c>
      <c r="V9" s="16" t="n">
        <v>40</v>
      </c>
      <c r="X9" s="16" t="s">
        <v>728</v>
      </c>
      <c r="Y9" s="16" t="s">
        <v>607</v>
      </c>
      <c r="Z9" s="16" t="s">
        <v>675</v>
      </c>
      <c r="AA9" s="16" t="s">
        <v>609</v>
      </c>
      <c r="AB9" s="16" t="s">
        <v>729</v>
      </c>
      <c r="AC9" s="16" t="s">
        <v>27</v>
      </c>
      <c r="AD9" s="16" t="n">
        <v>4</v>
      </c>
      <c r="AF9" s="16" t="s">
        <v>605</v>
      </c>
      <c r="AG9" s="16" t="n">
        <v>0</v>
      </c>
      <c r="AH9" s="16" t="s">
        <v>657</v>
      </c>
      <c r="AI9" s="16" t="s">
        <v>612</v>
      </c>
      <c r="AJ9" s="16" t="s">
        <v>719</v>
      </c>
      <c r="AK9" s="16" t="s">
        <v>730</v>
      </c>
      <c r="AL9" s="16" t="s">
        <v>731</v>
      </c>
      <c r="AM9" s="16" t="s">
        <v>122</v>
      </c>
      <c r="AN9" s="16" t="s">
        <v>122</v>
      </c>
      <c r="AO9" s="16" t="s">
        <v>732</v>
      </c>
      <c r="AQ9" s="16" t="s">
        <v>37</v>
      </c>
      <c r="AR9" s="16" t="s">
        <v>31</v>
      </c>
      <c r="AT9" s="16" t="s">
        <v>733</v>
      </c>
      <c r="AX9" s="16" t="s">
        <v>734</v>
      </c>
      <c r="AY9" s="16" t="s">
        <v>632</v>
      </c>
      <c r="AZ9" s="16" t="s">
        <v>735</v>
      </c>
    </row>
    <row r="10" customFormat="false" ht="15" hidden="false" customHeight="false" outlineLevel="0" collapsed="false">
      <c r="A10" s="16" t="s">
        <v>736</v>
      </c>
      <c r="B10" s="16" t="n">
        <v>8</v>
      </c>
      <c r="C10" s="16"/>
      <c r="D10" s="16" t="s">
        <v>16</v>
      </c>
      <c r="E10" s="16" t="s">
        <v>23</v>
      </c>
      <c r="G10" s="16" t="s">
        <v>737</v>
      </c>
      <c r="H10" s="16" t="s">
        <v>736</v>
      </c>
      <c r="J10" s="16" t="s">
        <v>738</v>
      </c>
      <c r="K10" s="16" t="s">
        <v>602</v>
      </c>
      <c r="L10" s="16" t="n">
        <v>30</v>
      </c>
      <c r="Q10" s="16" t="s">
        <v>739</v>
      </c>
      <c r="R10" s="16" t="s">
        <v>740</v>
      </c>
      <c r="S10" s="16" t="n">
        <v>14</v>
      </c>
      <c r="T10" s="16" t="n">
        <v>0</v>
      </c>
      <c r="U10" s="16" t="s">
        <v>121</v>
      </c>
      <c r="V10" s="16" t="n">
        <v>40</v>
      </c>
      <c r="X10" s="16" t="s">
        <v>741</v>
      </c>
      <c r="Y10" s="16" t="s">
        <v>607</v>
      </c>
      <c r="Z10" s="16" t="s">
        <v>608</v>
      </c>
      <c r="AA10" s="16" t="s">
        <v>676</v>
      </c>
      <c r="AB10" s="16" t="s">
        <v>605</v>
      </c>
      <c r="AC10" s="16" t="s">
        <v>27</v>
      </c>
      <c r="AD10" s="16" t="n">
        <v>2</v>
      </c>
      <c r="AF10" s="16" t="s">
        <v>742</v>
      </c>
      <c r="AG10" s="16" t="n">
        <v>0</v>
      </c>
      <c r="AH10" s="16" t="s">
        <v>611</v>
      </c>
      <c r="AI10" s="16" t="s">
        <v>612</v>
      </c>
      <c r="AJ10" s="16" t="s">
        <v>680</v>
      </c>
      <c r="AK10" s="16" t="s">
        <v>614</v>
      </c>
      <c r="AL10" s="16" t="s">
        <v>743</v>
      </c>
      <c r="AM10" s="16" t="s">
        <v>122</v>
      </c>
      <c r="AN10" s="16" t="s">
        <v>122</v>
      </c>
      <c r="AO10" s="16" t="s">
        <v>744</v>
      </c>
      <c r="AQ10" s="16" t="s">
        <v>39</v>
      </c>
      <c r="AR10" s="16" t="s">
        <v>23</v>
      </c>
      <c r="AT10" s="16" t="s">
        <v>745</v>
      </c>
      <c r="AX10" s="16" t="s">
        <v>746</v>
      </c>
      <c r="AY10" s="16" t="s">
        <v>747</v>
      </c>
      <c r="AZ10" s="16" t="s">
        <v>748</v>
      </c>
    </row>
    <row r="11" customFormat="false" ht="15" hidden="false" customHeight="false" outlineLevel="0" collapsed="false">
      <c r="A11" s="16" t="s">
        <v>749</v>
      </c>
      <c r="B11" s="16" t="n">
        <v>6</v>
      </c>
      <c r="C11" s="16" t="s">
        <v>31</v>
      </c>
      <c r="D11" s="16" t="s">
        <v>58</v>
      </c>
      <c r="E11" s="16" t="s">
        <v>31</v>
      </c>
      <c r="G11" s="16" t="s">
        <v>750</v>
      </c>
      <c r="H11" s="16" t="s">
        <v>749</v>
      </c>
      <c r="Q11" s="16" t="s">
        <v>751</v>
      </c>
      <c r="R11" s="16" t="s">
        <v>740</v>
      </c>
      <c r="S11" s="16" t="n">
        <v>16</v>
      </c>
      <c r="T11" s="16" t="n">
        <v>0</v>
      </c>
      <c r="U11" s="16" t="s">
        <v>121</v>
      </c>
      <c r="V11" s="16" t="n">
        <v>55</v>
      </c>
      <c r="X11" s="16" t="s">
        <v>752</v>
      </c>
      <c r="Y11" s="16" t="s">
        <v>607</v>
      </c>
      <c r="Z11" s="16" t="s">
        <v>675</v>
      </c>
      <c r="AA11" s="16" t="s">
        <v>632</v>
      </c>
      <c r="AB11" s="16" t="s">
        <v>753</v>
      </c>
      <c r="AC11" s="16" t="s">
        <v>27</v>
      </c>
      <c r="AD11" s="16" t="n">
        <v>3</v>
      </c>
      <c r="AF11" s="16" t="s">
        <v>754</v>
      </c>
      <c r="AG11" s="16" t="n">
        <v>0</v>
      </c>
      <c r="AH11" s="16" t="s">
        <v>679</v>
      </c>
      <c r="AI11" s="16" t="s">
        <v>743</v>
      </c>
      <c r="AJ11" s="16" t="s">
        <v>719</v>
      </c>
      <c r="AK11" s="16" t="s">
        <v>658</v>
      </c>
      <c r="AL11" s="16" t="s">
        <v>615</v>
      </c>
      <c r="AM11" s="16" t="s">
        <v>122</v>
      </c>
      <c r="AN11" s="16" t="s">
        <v>122</v>
      </c>
      <c r="AO11" s="16" t="s">
        <v>755</v>
      </c>
      <c r="AQ11" s="16" t="s">
        <v>41</v>
      </c>
      <c r="AR11" s="16" t="s">
        <v>20</v>
      </c>
      <c r="AX11" s="16" t="s">
        <v>756</v>
      </c>
      <c r="AY11" s="16" t="s">
        <v>757</v>
      </c>
      <c r="AZ11" s="16" t="s">
        <v>758</v>
      </c>
    </row>
    <row r="12" customFormat="false" ht="15" hidden="false" customHeight="false" outlineLevel="0" collapsed="false">
      <c r="A12" s="16" t="s">
        <v>695</v>
      </c>
      <c r="B12" s="16" t="n">
        <v>8</v>
      </c>
      <c r="C12" s="16" t="s">
        <v>31</v>
      </c>
      <c r="D12" s="16" t="s">
        <v>20</v>
      </c>
      <c r="E12" s="16" t="s">
        <v>31</v>
      </c>
      <c r="G12" s="16" t="s">
        <v>759</v>
      </c>
      <c r="H12" s="16" t="s">
        <v>695</v>
      </c>
      <c r="Q12" s="16" t="s">
        <v>760</v>
      </c>
      <c r="R12" s="16" t="s">
        <v>740</v>
      </c>
      <c r="S12" s="16" t="n">
        <v>17</v>
      </c>
      <c r="T12" s="16" t="n">
        <v>0</v>
      </c>
      <c r="U12" s="16" t="s">
        <v>121</v>
      </c>
      <c r="V12" s="16" t="n">
        <v>60</v>
      </c>
      <c r="X12" s="16" t="s">
        <v>761</v>
      </c>
      <c r="Y12" s="16" t="s">
        <v>762</v>
      </c>
      <c r="Z12" s="16" t="s">
        <v>654</v>
      </c>
      <c r="AA12" s="16" t="s">
        <v>632</v>
      </c>
      <c r="AB12" s="16" t="s">
        <v>763</v>
      </c>
      <c r="AC12" s="16" t="s">
        <v>16</v>
      </c>
      <c r="AD12" s="16" t="n">
        <v>5</v>
      </c>
      <c r="AF12" s="16" t="s">
        <v>764</v>
      </c>
      <c r="AG12" s="16" t="n">
        <v>0</v>
      </c>
      <c r="AH12" s="16" t="s">
        <v>679</v>
      </c>
      <c r="AI12" s="16" t="s">
        <v>612</v>
      </c>
      <c r="AJ12" s="16" t="s">
        <v>637</v>
      </c>
      <c r="AK12" s="16" t="s">
        <v>658</v>
      </c>
      <c r="AL12" s="16" t="s">
        <v>638</v>
      </c>
      <c r="AM12" s="16" t="s">
        <v>122</v>
      </c>
      <c r="AN12" s="16" t="s">
        <v>122</v>
      </c>
      <c r="AO12" s="16" t="s">
        <v>660</v>
      </c>
      <c r="AQ12" s="16" t="s">
        <v>43</v>
      </c>
      <c r="AR12" s="16" t="s">
        <v>23</v>
      </c>
      <c r="AX12" s="16" t="s">
        <v>765</v>
      </c>
      <c r="AY12" s="16" t="s">
        <v>766</v>
      </c>
      <c r="AZ12" s="16" t="s">
        <v>767</v>
      </c>
    </row>
    <row r="13" customFormat="false" ht="15" hidden="false" customHeight="false" outlineLevel="0" collapsed="false">
      <c r="A13" s="16" t="s">
        <v>768</v>
      </c>
      <c r="B13" s="16" t="n">
        <v>6</v>
      </c>
      <c r="C13" s="16" t="s">
        <v>23</v>
      </c>
      <c r="D13" s="16" t="s">
        <v>23</v>
      </c>
      <c r="E13" s="16" t="s">
        <v>20</v>
      </c>
      <c r="G13" s="16" t="s">
        <v>769</v>
      </c>
      <c r="H13" s="16" t="s">
        <v>768</v>
      </c>
      <c r="Q13" s="16" t="s">
        <v>770</v>
      </c>
      <c r="R13" s="16" t="s">
        <v>740</v>
      </c>
      <c r="S13" s="16" t="n">
        <v>18</v>
      </c>
      <c r="T13" s="16" t="n">
        <v>0</v>
      </c>
      <c r="U13" s="16" t="s">
        <v>121</v>
      </c>
      <c r="V13" s="16" t="n">
        <v>65</v>
      </c>
      <c r="X13" s="16" t="s">
        <v>771</v>
      </c>
      <c r="Y13" s="16" t="s">
        <v>762</v>
      </c>
      <c r="Z13" s="16" t="s">
        <v>608</v>
      </c>
      <c r="AA13" s="16" t="s">
        <v>632</v>
      </c>
      <c r="AB13" s="16" t="s">
        <v>772</v>
      </c>
      <c r="AC13" s="16" t="s">
        <v>634</v>
      </c>
      <c r="AD13" s="16" t="n">
        <v>0.25</v>
      </c>
      <c r="AF13" s="16" t="s">
        <v>773</v>
      </c>
      <c r="AG13" s="16" t="n">
        <v>0</v>
      </c>
      <c r="AH13" s="16" t="s">
        <v>774</v>
      </c>
      <c r="AI13" s="16" t="s">
        <v>612</v>
      </c>
      <c r="AJ13" s="16" t="s">
        <v>680</v>
      </c>
      <c r="AK13" s="16" t="s">
        <v>775</v>
      </c>
      <c r="AL13" s="16" t="s">
        <v>743</v>
      </c>
      <c r="AM13" s="16" t="s">
        <v>122</v>
      </c>
      <c r="AN13" s="16" t="s">
        <v>122</v>
      </c>
      <c r="AO13" s="16" t="s">
        <v>744</v>
      </c>
      <c r="AQ13" s="16" t="s">
        <v>44</v>
      </c>
      <c r="AR13" s="16" t="s">
        <v>20</v>
      </c>
      <c r="AX13" s="16" t="s">
        <v>776</v>
      </c>
      <c r="AY13" s="16" t="s">
        <v>676</v>
      </c>
      <c r="AZ13" s="16" t="s">
        <v>777</v>
      </c>
    </row>
    <row r="14" customFormat="false" ht="15" hidden="false" customHeight="false" outlineLevel="0" collapsed="false">
      <c r="X14" s="16" t="s">
        <v>778</v>
      </c>
      <c r="Y14" s="16" t="s">
        <v>762</v>
      </c>
      <c r="Z14" s="16" t="s">
        <v>675</v>
      </c>
      <c r="AA14" s="16" t="s">
        <v>632</v>
      </c>
      <c r="AB14" s="16" t="s">
        <v>779</v>
      </c>
      <c r="AC14" s="16" t="s">
        <v>16</v>
      </c>
      <c r="AD14" s="16" t="n">
        <v>2</v>
      </c>
      <c r="AF14" s="16" t="s">
        <v>780</v>
      </c>
      <c r="AG14" s="16" t="n">
        <v>0</v>
      </c>
      <c r="AH14" s="16" t="s">
        <v>611</v>
      </c>
      <c r="AI14" s="16" t="s">
        <v>612</v>
      </c>
      <c r="AJ14" s="16" t="s">
        <v>781</v>
      </c>
      <c r="AK14" s="16" t="s">
        <v>614</v>
      </c>
      <c r="AL14" s="16" t="s">
        <v>615</v>
      </c>
      <c r="AM14" s="16" t="s">
        <v>122</v>
      </c>
      <c r="AN14" s="16" t="s">
        <v>122</v>
      </c>
      <c r="AO14" s="16" t="s">
        <v>782</v>
      </c>
      <c r="AQ14" s="16" t="s">
        <v>46</v>
      </c>
      <c r="AR14" s="16" t="s">
        <v>31</v>
      </c>
      <c r="AX14" s="16" t="s">
        <v>783</v>
      </c>
      <c r="AY14" s="16" t="s">
        <v>784</v>
      </c>
      <c r="AZ14" s="16" t="s">
        <v>785</v>
      </c>
    </row>
    <row r="15" customFormat="false" ht="15" hidden="false" customHeight="false" outlineLevel="0" collapsed="false">
      <c r="X15" s="16" t="s">
        <v>786</v>
      </c>
      <c r="Y15" s="16" t="s">
        <v>762</v>
      </c>
      <c r="Z15" s="16" t="s">
        <v>608</v>
      </c>
      <c r="AA15" s="16" t="s">
        <v>609</v>
      </c>
      <c r="AB15" s="16" t="s">
        <v>787</v>
      </c>
      <c r="AC15" s="16" t="s">
        <v>16</v>
      </c>
      <c r="AD15" s="16" t="n">
        <v>0</v>
      </c>
      <c r="AF15" s="16" t="s">
        <v>788</v>
      </c>
      <c r="AG15" s="16" t="n">
        <v>0</v>
      </c>
      <c r="AH15" s="16" t="s">
        <v>679</v>
      </c>
      <c r="AI15" s="16" t="s">
        <v>612</v>
      </c>
      <c r="AJ15" s="16" t="s">
        <v>781</v>
      </c>
      <c r="AK15" s="16" t="s">
        <v>614</v>
      </c>
      <c r="AL15" s="16" t="s">
        <v>731</v>
      </c>
      <c r="AM15" s="16" t="s">
        <v>122</v>
      </c>
      <c r="AN15" s="16" t="s">
        <v>122</v>
      </c>
      <c r="AO15" s="16" t="s">
        <v>744</v>
      </c>
      <c r="AQ15" s="16" t="s">
        <v>52</v>
      </c>
      <c r="AR15" s="16" t="s">
        <v>31</v>
      </c>
      <c r="AX15" s="16" t="s">
        <v>789</v>
      </c>
      <c r="AZ15" s="16" t="s">
        <v>790</v>
      </c>
    </row>
    <row r="16" customFormat="false" ht="15" hidden="false" customHeight="false" outlineLevel="0" collapsed="false">
      <c r="X16" s="16" t="s">
        <v>791</v>
      </c>
      <c r="Y16" s="16" t="s">
        <v>792</v>
      </c>
      <c r="Z16" s="16" t="s">
        <v>654</v>
      </c>
      <c r="AA16" s="16" t="s">
        <v>676</v>
      </c>
      <c r="AB16" s="16" t="s">
        <v>793</v>
      </c>
      <c r="AC16" s="16" t="s">
        <v>27</v>
      </c>
      <c r="AD16" s="16" t="n">
        <v>4</v>
      </c>
      <c r="AF16" s="16" t="s">
        <v>794</v>
      </c>
      <c r="AG16" s="16" t="n">
        <v>0</v>
      </c>
      <c r="AH16" s="16" t="s">
        <v>611</v>
      </c>
      <c r="AI16" s="16" t="s">
        <v>612</v>
      </c>
      <c r="AJ16" s="16" t="s">
        <v>795</v>
      </c>
      <c r="AK16" s="16" t="s">
        <v>614</v>
      </c>
      <c r="AL16" s="16" t="s">
        <v>796</v>
      </c>
      <c r="AM16" s="16" t="s">
        <v>122</v>
      </c>
      <c r="AN16" s="16" t="s">
        <v>122</v>
      </c>
      <c r="AO16" s="16" t="s">
        <v>668</v>
      </c>
      <c r="AQ16" s="16" t="s">
        <v>54</v>
      </c>
      <c r="AR16" s="16" t="s">
        <v>23</v>
      </c>
      <c r="AX16" s="16" t="s">
        <v>797</v>
      </c>
      <c r="AZ16" s="16" t="s">
        <v>798</v>
      </c>
    </row>
    <row r="17" customFormat="false" ht="15" hidden="false" customHeight="false" outlineLevel="0" collapsed="false">
      <c r="X17" s="16" t="s">
        <v>799</v>
      </c>
      <c r="Y17" s="16" t="s">
        <v>792</v>
      </c>
      <c r="Z17" s="16" t="s">
        <v>654</v>
      </c>
      <c r="AA17" s="16" t="s">
        <v>609</v>
      </c>
      <c r="AB17" s="16"/>
      <c r="AC17" s="16" t="s">
        <v>27</v>
      </c>
      <c r="AD17" s="16" t="n">
        <v>2</v>
      </c>
      <c r="AF17" s="16" t="s">
        <v>800</v>
      </c>
      <c r="AG17" s="16" t="n">
        <v>0</v>
      </c>
      <c r="AH17" s="16" t="s">
        <v>657</v>
      </c>
      <c r="AI17" s="16" t="s">
        <v>612</v>
      </c>
      <c r="AJ17" s="16" t="s">
        <v>613</v>
      </c>
      <c r="AK17" s="16" t="s">
        <v>614</v>
      </c>
      <c r="AL17" s="16" t="s">
        <v>615</v>
      </c>
      <c r="AM17" s="16" t="s">
        <v>122</v>
      </c>
      <c r="AN17" s="16" t="s">
        <v>122</v>
      </c>
      <c r="AO17" s="16" t="s">
        <v>616</v>
      </c>
      <c r="AQ17" s="16" t="s">
        <v>56</v>
      </c>
      <c r="AR17" s="16" t="s">
        <v>16</v>
      </c>
      <c r="AX17" s="16" t="s">
        <v>801</v>
      </c>
    </row>
    <row r="18" customFormat="false" ht="15" hidden="false" customHeight="false" outlineLevel="0" collapsed="false">
      <c r="X18" s="16" t="s">
        <v>802</v>
      </c>
      <c r="Y18" s="16" t="s">
        <v>792</v>
      </c>
      <c r="Z18" s="16" t="s">
        <v>803</v>
      </c>
      <c r="AA18" s="16" t="s">
        <v>676</v>
      </c>
      <c r="AB18" s="16" t="s">
        <v>804</v>
      </c>
      <c r="AC18" s="16" t="s">
        <v>27</v>
      </c>
      <c r="AD18" s="16" t="n">
        <v>6</v>
      </c>
      <c r="AF18" s="16" t="s">
        <v>805</v>
      </c>
      <c r="AG18" s="16" t="n">
        <v>0</v>
      </c>
      <c r="AH18" s="16" t="s">
        <v>806</v>
      </c>
      <c r="AI18" s="16" t="s">
        <v>612</v>
      </c>
      <c r="AJ18" s="16" t="s">
        <v>719</v>
      </c>
      <c r="AK18" s="16" t="s">
        <v>658</v>
      </c>
      <c r="AL18" s="16" t="s">
        <v>659</v>
      </c>
      <c r="AM18" s="16" t="s">
        <v>121</v>
      </c>
      <c r="AN18" s="16" t="s">
        <v>122</v>
      </c>
      <c r="AO18" s="16" t="s">
        <v>720</v>
      </c>
      <c r="AQ18" s="16" t="s">
        <v>59</v>
      </c>
      <c r="AR18" s="16" t="s">
        <v>16</v>
      </c>
    </row>
    <row r="19" customFormat="false" ht="15" hidden="false" customHeight="false" outlineLevel="0" collapsed="false">
      <c r="X19" s="16" t="s">
        <v>807</v>
      </c>
      <c r="Y19" s="16" t="s">
        <v>792</v>
      </c>
      <c r="Z19" s="16" t="s">
        <v>808</v>
      </c>
      <c r="AA19" s="16" t="s">
        <v>676</v>
      </c>
      <c r="AB19" s="16" t="s">
        <v>809</v>
      </c>
      <c r="AC19" s="16" t="s">
        <v>27</v>
      </c>
      <c r="AD19" s="16" t="n">
        <v>7</v>
      </c>
      <c r="AF19" s="16" t="s">
        <v>810</v>
      </c>
      <c r="AG19" s="16" t="n">
        <v>0</v>
      </c>
      <c r="AH19" s="16" t="s">
        <v>657</v>
      </c>
      <c r="AI19" s="16" t="s">
        <v>612</v>
      </c>
      <c r="AJ19" s="16" t="s">
        <v>613</v>
      </c>
      <c r="AK19" s="16" t="s">
        <v>614</v>
      </c>
      <c r="AL19" s="16" t="s">
        <v>615</v>
      </c>
      <c r="AM19" s="16" t="s">
        <v>122</v>
      </c>
      <c r="AN19" s="16" t="s">
        <v>122</v>
      </c>
      <c r="AO19" s="16" t="s">
        <v>648</v>
      </c>
      <c r="AQ19" s="16" t="s">
        <v>61</v>
      </c>
      <c r="AR19" s="16" t="s">
        <v>20</v>
      </c>
    </row>
    <row r="20" customFormat="false" ht="15" hidden="false" customHeight="false" outlineLevel="0" collapsed="false">
      <c r="X20" s="16" t="s">
        <v>811</v>
      </c>
      <c r="Y20" s="16" t="s">
        <v>792</v>
      </c>
      <c r="Z20" s="16" t="s">
        <v>812</v>
      </c>
      <c r="AA20" s="16" t="s">
        <v>676</v>
      </c>
      <c r="AB20" s="16" t="s">
        <v>809</v>
      </c>
      <c r="AC20" s="16" t="s">
        <v>27</v>
      </c>
      <c r="AD20" s="16" t="n">
        <v>6</v>
      </c>
      <c r="AF20" s="16" t="s">
        <v>813</v>
      </c>
      <c r="AG20" s="16" t="n">
        <v>0</v>
      </c>
      <c r="AH20" s="16" t="s">
        <v>679</v>
      </c>
      <c r="AI20" s="16" t="s">
        <v>814</v>
      </c>
      <c r="AJ20" s="16" t="s">
        <v>719</v>
      </c>
      <c r="AK20" s="16" t="s">
        <v>658</v>
      </c>
      <c r="AL20" s="16" t="s">
        <v>743</v>
      </c>
      <c r="AM20" s="16" t="s">
        <v>122</v>
      </c>
      <c r="AN20" s="16" t="s">
        <v>122</v>
      </c>
      <c r="AO20" s="16" t="s">
        <v>668</v>
      </c>
    </row>
    <row r="21" customFormat="false" ht="15" hidden="false" customHeight="false" outlineLevel="0" collapsed="false">
      <c r="X21" s="16" t="s">
        <v>815</v>
      </c>
      <c r="Y21" s="16" t="s">
        <v>792</v>
      </c>
      <c r="Z21" s="16" t="s">
        <v>803</v>
      </c>
      <c r="AA21" s="16" t="s">
        <v>676</v>
      </c>
      <c r="AB21" s="16" t="s">
        <v>804</v>
      </c>
      <c r="AC21" s="16" t="s">
        <v>27</v>
      </c>
      <c r="AD21" s="16" t="n">
        <v>6</v>
      </c>
      <c r="AF21" s="16" t="s">
        <v>816</v>
      </c>
      <c r="AG21" s="16" t="n">
        <v>0</v>
      </c>
      <c r="AH21" s="16" t="s">
        <v>657</v>
      </c>
      <c r="AI21" s="16" t="s">
        <v>612</v>
      </c>
      <c r="AJ21" s="16" t="s">
        <v>719</v>
      </c>
      <c r="AK21" s="16" t="s">
        <v>614</v>
      </c>
      <c r="AL21" s="16" t="s">
        <v>615</v>
      </c>
      <c r="AM21" s="16" t="s">
        <v>122</v>
      </c>
      <c r="AN21" s="16" t="s">
        <v>122</v>
      </c>
      <c r="AO21" s="16" t="s">
        <v>616</v>
      </c>
    </row>
    <row r="22" customFormat="false" ht="15" hidden="false" customHeight="false" outlineLevel="0" collapsed="false">
      <c r="X22" s="16" t="s">
        <v>817</v>
      </c>
      <c r="Y22" s="16" t="s">
        <v>792</v>
      </c>
      <c r="Z22" s="16" t="s">
        <v>808</v>
      </c>
      <c r="AA22" s="16" t="s">
        <v>632</v>
      </c>
      <c r="AB22" s="16" t="s">
        <v>818</v>
      </c>
      <c r="AC22" s="16" t="s">
        <v>27</v>
      </c>
      <c r="AD22" s="16" t="n">
        <v>6</v>
      </c>
      <c r="AF22" s="16" t="s">
        <v>819</v>
      </c>
      <c r="AG22" s="16" t="n">
        <v>0</v>
      </c>
      <c r="AH22" s="16" t="s">
        <v>636</v>
      </c>
      <c r="AI22" s="16" t="s">
        <v>612</v>
      </c>
      <c r="AJ22" s="16" t="s">
        <v>719</v>
      </c>
      <c r="AK22" s="16" t="s">
        <v>614</v>
      </c>
      <c r="AL22" s="16" t="s">
        <v>615</v>
      </c>
      <c r="AM22" s="16" t="s">
        <v>122</v>
      </c>
      <c r="AN22" s="16" t="s">
        <v>122</v>
      </c>
      <c r="AO22" s="16" t="s">
        <v>648</v>
      </c>
    </row>
    <row r="23" customFormat="false" ht="15" hidden="false" customHeight="false" outlineLevel="0" collapsed="false">
      <c r="X23" s="16" t="s">
        <v>820</v>
      </c>
      <c r="Y23" s="16" t="s">
        <v>792</v>
      </c>
      <c r="Z23" s="16" t="s">
        <v>654</v>
      </c>
      <c r="AA23" s="16" t="s">
        <v>676</v>
      </c>
      <c r="AB23" s="16" t="s">
        <v>793</v>
      </c>
      <c r="AC23" s="16" t="s">
        <v>27</v>
      </c>
      <c r="AD23" s="16" t="n">
        <v>3</v>
      </c>
      <c r="AF23" s="16" t="s">
        <v>821</v>
      </c>
      <c r="AG23" s="16" t="n">
        <v>0</v>
      </c>
      <c r="AH23" s="16" t="s">
        <v>679</v>
      </c>
      <c r="AI23" s="16" t="s">
        <v>612</v>
      </c>
      <c r="AJ23" s="16" t="s">
        <v>680</v>
      </c>
      <c r="AK23" s="16" t="s">
        <v>822</v>
      </c>
      <c r="AL23" s="16" t="s">
        <v>743</v>
      </c>
      <c r="AM23" s="16" t="s">
        <v>122</v>
      </c>
      <c r="AN23" s="16" t="s">
        <v>122</v>
      </c>
      <c r="AO23" s="16" t="s">
        <v>648</v>
      </c>
    </row>
    <row r="24" customFormat="false" ht="15" hidden="false" customHeight="false" outlineLevel="0" collapsed="false">
      <c r="X24" s="16" t="s">
        <v>823</v>
      </c>
      <c r="Y24" s="16" t="s">
        <v>792</v>
      </c>
      <c r="Z24" s="16" t="s">
        <v>812</v>
      </c>
      <c r="AA24" s="16" t="s">
        <v>609</v>
      </c>
      <c r="AB24" s="16" t="s">
        <v>809</v>
      </c>
      <c r="AC24" s="16" t="s">
        <v>27</v>
      </c>
      <c r="AD24" s="16" t="n">
        <v>10</v>
      </c>
      <c r="AF24" s="16" t="s">
        <v>824</v>
      </c>
      <c r="AG24" s="16" t="n">
        <v>0</v>
      </c>
      <c r="AH24" s="16" t="s">
        <v>718</v>
      </c>
      <c r="AI24" s="16" t="s">
        <v>612</v>
      </c>
      <c r="AJ24" s="16" t="s">
        <v>680</v>
      </c>
      <c r="AK24" s="16" t="s">
        <v>825</v>
      </c>
      <c r="AL24" s="16" t="s">
        <v>826</v>
      </c>
      <c r="AM24" s="16" t="s">
        <v>121</v>
      </c>
      <c r="AN24" s="16" t="s">
        <v>122</v>
      </c>
      <c r="AO24" s="16" t="s">
        <v>744</v>
      </c>
    </row>
    <row r="25" customFormat="false" ht="15" hidden="false" customHeight="false" outlineLevel="0" collapsed="false">
      <c r="X25" s="16" t="s">
        <v>827</v>
      </c>
      <c r="Y25" s="16" t="s">
        <v>792</v>
      </c>
      <c r="Z25" s="16" t="s">
        <v>654</v>
      </c>
      <c r="AA25" s="16" t="s">
        <v>632</v>
      </c>
      <c r="AB25" s="16"/>
      <c r="AC25" s="16" t="s">
        <v>27</v>
      </c>
      <c r="AD25" s="16" t="n">
        <v>4</v>
      </c>
      <c r="AF25" s="16" t="s">
        <v>828</v>
      </c>
      <c r="AG25" s="16" t="n">
        <v>0</v>
      </c>
      <c r="AH25" s="16" t="s">
        <v>829</v>
      </c>
      <c r="AI25" s="16" t="s">
        <v>612</v>
      </c>
      <c r="AJ25" s="16" t="s">
        <v>613</v>
      </c>
      <c r="AK25" s="16" t="s">
        <v>822</v>
      </c>
      <c r="AL25" s="16" t="s">
        <v>615</v>
      </c>
      <c r="AM25" s="16" t="s">
        <v>122</v>
      </c>
      <c r="AN25" s="16" t="s">
        <v>122</v>
      </c>
      <c r="AO25" s="16" t="s">
        <v>626</v>
      </c>
    </row>
    <row r="26" customFormat="false" ht="15" hidden="false" customHeight="false" outlineLevel="0" collapsed="false">
      <c r="X26" s="16" t="s">
        <v>830</v>
      </c>
      <c r="Y26" s="16" t="s">
        <v>792</v>
      </c>
      <c r="Z26" s="16" t="s">
        <v>803</v>
      </c>
      <c r="AA26" s="16" t="s">
        <v>632</v>
      </c>
      <c r="AB26" s="16" t="s">
        <v>804</v>
      </c>
      <c r="AC26" s="16" t="s">
        <v>27</v>
      </c>
      <c r="AD26" s="16" t="n">
        <v>18</v>
      </c>
      <c r="AF26" s="16" t="s">
        <v>831</v>
      </c>
      <c r="AG26" s="16" t="n">
        <v>1</v>
      </c>
      <c r="AH26" s="16" t="s">
        <v>806</v>
      </c>
      <c r="AI26" s="16" t="s">
        <v>743</v>
      </c>
      <c r="AJ26" s="16" t="s">
        <v>680</v>
      </c>
      <c r="AK26" s="16" t="s">
        <v>658</v>
      </c>
      <c r="AL26" s="16" t="s">
        <v>832</v>
      </c>
      <c r="AM26" s="16" t="s">
        <v>122</v>
      </c>
      <c r="AN26" s="16" t="s">
        <v>121</v>
      </c>
      <c r="AO26" s="16" t="s">
        <v>833</v>
      </c>
    </row>
    <row r="27" customFormat="false" ht="15" hidden="false" customHeight="false" outlineLevel="0" collapsed="false">
      <c r="X27" s="16" t="s">
        <v>834</v>
      </c>
      <c r="Y27" s="16" t="s">
        <v>792</v>
      </c>
      <c r="Z27" s="16" t="s">
        <v>654</v>
      </c>
      <c r="AA27" s="16" t="s">
        <v>632</v>
      </c>
      <c r="AB27" s="16" t="s">
        <v>835</v>
      </c>
      <c r="AC27" s="16" t="s">
        <v>634</v>
      </c>
      <c r="AD27" s="16" t="n">
        <v>2</v>
      </c>
      <c r="AF27" s="16" t="s">
        <v>836</v>
      </c>
      <c r="AG27" s="16" t="n">
        <v>1</v>
      </c>
      <c r="AH27" s="16" t="s">
        <v>829</v>
      </c>
      <c r="AI27" s="16" t="s">
        <v>612</v>
      </c>
      <c r="AJ27" s="16" t="s">
        <v>680</v>
      </c>
      <c r="AK27" s="16" t="s">
        <v>658</v>
      </c>
      <c r="AL27" s="16" t="s">
        <v>837</v>
      </c>
      <c r="AM27" s="16" t="s">
        <v>122</v>
      </c>
      <c r="AN27" s="16" t="s">
        <v>122</v>
      </c>
      <c r="AO27" s="16" t="s">
        <v>838</v>
      </c>
    </row>
    <row r="28" customFormat="false" ht="15" hidden="false" customHeight="false" outlineLevel="0" collapsed="false">
      <c r="X28" s="16" t="s">
        <v>839</v>
      </c>
      <c r="Y28" s="16" t="s">
        <v>792</v>
      </c>
      <c r="Z28" s="16" t="s">
        <v>675</v>
      </c>
      <c r="AA28" s="16" t="s">
        <v>676</v>
      </c>
      <c r="AB28" s="16" t="s">
        <v>840</v>
      </c>
      <c r="AC28" s="16" t="s">
        <v>634</v>
      </c>
      <c r="AD28" s="16" t="n">
        <v>3</v>
      </c>
      <c r="AF28" s="16" t="s">
        <v>841</v>
      </c>
      <c r="AG28" s="16" t="n">
        <v>1</v>
      </c>
      <c r="AH28" s="16" t="s">
        <v>829</v>
      </c>
      <c r="AI28" s="16" t="s">
        <v>612</v>
      </c>
      <c r="AJ28" s="16" t="s">
        <v>680</v>
      </c>
      <c r="AK28" s="16" t="s">
        <v>658</v>
      </c>
      <c r="AL28" s="16" t="s">
        <v>659</v>
      </c>
      <c r="AM28" s="16" t="s">
        <v>121</v>
      </c>
      <c r="AN28" s="16" t="s">
        <v>122</v>
      </c>
      <c r="AO28" s="16" t="s">
        <v>842</v>
      </c>
    </row>
    <row r="29" customFormat="false" ht="15" hidden="false" customHeight="false" outlineLevel="0" collapsed="false">
      <c r="X29" s="16" t="s">
        <v>843</v>
      </c>
      <c r="Y29" s="16" t="s">
        <v>792</v>
      </c>
      <c r="Z29" s="16" t="s">
        <v>675</v>
      </c>
      <c r="AA29" s="16" t="s">
        <v>632</v>
      </c>
      <c r="AB29" s="16" t="s">
        <v>840</v>
      </c>
      <c r="AC29" s="16" t="s">
        <v>634</v>
      </c>
      <c r="AD29" s="16" t="n">
        <v>2</v>
      </c>
      <c r="AF29" s="16" t="s">
        <v>844</v>
      </c>
      <c r="AG29" s="16" t="n">
        <v>1</v>
      </c>
      <c r="AH29" s="16" t="s">
        <v>829</v>
      </c>
      <c r="AI29" s="16" t="s">
        <v>612</v>
      </c>
      <c r="AJ29" s="16" t="s">
        <v>680</v>
      </c>
      <c r="AK29" s="16" t="s">
        <v>658</v>
      </c>
      <c r="AL29" s="16" t="s">
        <v>659</v>
      </c>
      <c r="AM29" s="16" t="s">
        <v>121</v>
      </c>
      <c r="AN29" s="16" t="s">
        <v>122</v>
      </c>
      <c r="AO29" s="16" t="s">
        <v>845</v>
      </c>
    </row>
    <row r="30" customFormat="false" ht="15" hidden="false" customHeight="false" outlineLevel="0" collapsed="false">
      <c r="X30" s="16" t="s">
        <v>846</v>
      </c>
      <c r="Y30" s="16" t="s">
        <v>792</v>
      </c>
      <c r="Z30" s="16" t="s">
        <v>675</v>
      </c>
      <c r="AA30" s="16" t="s">
        <v>632</v>
      </c>
      <c r="AB30" s="16" t="s">
        <v>753</v>
      </c>
      <c r="AC30" s="16" t="s">
        <v>27</v>
      </c>
      <c r="AD30" s="16" t="n">
        <v>4</v>
      </c>
      <c r="AF30" s="16" t="s">
        <v>847</v>
      </c>
      <c r="AG30" s="16" t="n">
        <v>1</v>
      </c>
      <c r="AH30" s="16" t="s">
        <v>657</v>
      </c>
      <c r="AI30" s="16" t="s">
        <v>612</v>
      </c>
      <c r="AJ30" s="16" t="s">
        <v>795</v>
      </c>
      <c r="AK30" s="16" t="s">
        <v>614</v>
      </c>
      <c r="AL30" s="16" t="s">
        <v>615</v>
      </c>
      <c r="AM30" s="16" t="s">
        <v>122</v>
      </c>
      <c r="AN30" s="16" t="s">
        <v>122</v>
      </c>
      <c r="AO30" s="16" t="s">
        <v>616</v>
      </c>
    </row>
    <row r="31" customFormat="false" ht="15" hidden="false" customHeight="false" outlineLevel="0" collapsed="false">
      <c r="X31" s="16" t="s">
        <v>848</v>
      </c>
      <c r="Y31" s="16" t="s">
        <v>792</v>
      </c>
      <c r="Z31" s="16" t="s">
        <v>654</v>
      </c>
      <c r="AA31" s="16" t="s">
        <v>632</v>
      </c>
      <c r="AB31" s="16"/>
      <c r="AC31" s="16" t="s">
        <v>27</v>
      </c>
      <c r="AD31" s="16" t="n">
        <v>2</v>
      </c>
      <c r="AF31" s="16" t="s">
        <v>849</v>
      </c>
      <c r="AG31" s="16" t="n">
        <v>1</v>
      </c>
      <c r="AH31" s="16" t="s">
        <v>829</v>
      </c>
      <c r="AI31" s="16" t="s">
        <v>612</v>
      </c>
      <c r="AJ31" s="16" t="s">
        <v>680</v>
      </c>
      <c r="AK31" s="16" t="s">
        <v>614</v>
      </c>
      <c r="AL31" s="16" t="s">
        <v>731</v>
      </c>
      <c r="AM31" s="16" t="s">
        <v>122</v>
      </c>
      <c r="AN31" s="16" t="s">
        <v>122</v>
      </c>
      <c r="AO31" s="16" t="s">
        <v>850</v>
      </c>
    </row>
    <row r="32" customFormat="false" ht="15" hidden="false" customHeight="false" outlineLevel="0" collapsed="false">
      <c r="X32" s="16" t="s">
        <v>851</v>
      </c>
      <c r="Y32" s="16" t="s">
        <v>792</v>
      </c>
      <c r="Z32" s="16" t="s">
        <v>654</v>
      </c>
      <c r="AA32" s="16" t="s">
        <v>609</v>
      </c>
      <c r="AB32" s="16" t="s">
        <v>793</v>
      </c>
      <c r="AC32" s="16" t="s">
        <v>27</v>
      </c>
      <c r="AD32" s="16" t="n">
        <v>2</v>
      </c>
      <c r="AF32" s="16" t="s">
        <v>852</v>
      </c>
      <c r="AG32" s="16" t="n">
        <v>1</v>
      </c>
      <c r="AH32" s="16" t="s">
        <v>774</v>
      </c>
      <c r="AI32" s="16" t="s">
        <v>612</v>
      </c>
      <c r="AJ32" s="16" t="s">
        <v>795</v>
      </c>
      <c r="AK32" s="16" t="s">
        <v>658</v>
      </c>
      <c r="AL32" s="16" t="s">
        <v>638</v>
      </c>
      <c r="AM32" s="16" t="s">
        <v>122</v>
      </c>
      <c r="AN32" s="16" t="s">
        <v>122</v>
      </c>
      <c r="AO32" s="16" t="s">
        <v>616</v>
      </c>
    </row>
    <row r="33" customFormat="false" ht="15" hidden="false" customHeight="false" outlineLevel="0" collapsed="false">
      <c r="X33" s="16" t="s">
        <v>853</v>
      </c>
      <c r="Y33" s="16" t="s">
        <v>792</v>
      </c>
      <c r="Z33" s="16" t="s">
        <v>608</v>
      </c>
      <c r="AA33" s="16" t="s">
        <v>676</v>
      </c>
      <c r="AB33" s="16" t="s">
        <v>854</v>
      </c>
      <c r="AC33" s="16" t="s">
        <v>634</v>
      </c>
      <c r="AD33" s="16" t="n">
        <v>3</v>
      </c>
      <c r="AF33" s="16" t="s">
        <v>855</v>
      </c>
      <c r="AG33" s="16" t="n">
        <v>1</v>
      </c>
      <c r="AH33" s="16" t="s">
        <v>829</v>
      </c>
      <c r="AI33" s="16" t="s">
        <v>612</v>
      </c>
      <c r="AJ33" s="16" t="s">
        <v>613</v>
      </c>
      <c r="AK33" s="16" t="s">
        <v>822</v>
      </c>
      <c r="AL33" s="16" t="s">
        <v>638</v>
      </c>
      <c r="AM33" s="16" t="s">
        <v>122</v>
      </c>
      <c r="AN33" s="16" t="s">
        <v>122</v>
      </c>
      <c r="AO33" s="16" t="s">
        <v>845</v>
      </c>
    </row>
    <row r="34" customFormat="false" ht="15" hidden="false" customHeight="false" outlineLevel="0" collapsed="false">
      <c r="X34" s="16" t="s">
        <v>856</v>
      </c>
      <c r="Y34" s="16" t="s">
        <v>857</v>
      </c>
      <c r="Z34" s="16" t="s">
        <v>858</v>
      </c>
      <c r="AA34" s="16" t="s">
        <v>632</v>
      </c>
      <c r="AB34" s="16" t="s">
        <v>859</v>
      </c>
      <c r="AC34" s="16" t="s">
        <v>16</v>
      </c>
      <c r="AD34" s="16" t="n">
        <v>1</v>
      </c>
      <c r="AF34" s="16" t="s">
        <v>860</v>
      </c>
      <c r="AG34" s="16" t="n">
        <v>1</v>
      </c>
      <c r="AH34" s="16" t="s">
        <v>718</v>
      </c>
      <c r="AI34" s="16" t="s">
        <v>612</v>
      </c>
      <c r="AJ34" s="16" t="s">
        <v>795</v>
      </c>
      <c r="AK34" s="16" t="s">
        <v>658</v>
      </c>
      <c r="AL34" s="16" t="s">
        <v>731</v>
      </c>
      <c r="AM34" s="16" t="s">
        <v>122</v>
      </c>
      <c r="AN34" s="16" t="s">
        <v>121</v>
      </c>
      <c r="AO34" s="16" t="s">
        <v>744</v>
      </c>
    </row>
    <row r="35" customFormat="false" ht="15" hidden="false" customHeight="false" outlineLevel="0" collapsed="false">
      <c r="X35" s="16" t="s">
        <v>861</v>
      </c>
      <c r="Y35" s="16" t="s">
        <v>857</v>
      </c>
      <c r="Z35" s="16" t="s">
        <v>675</v>
      </c>
      <c r="AA35" s="16" t="s">
        <v>632</v>
      </c>
      <c r="AB35" s="16" t="s">
        <v>862</v>
      </c>
      <c r="AC35" s="16" t="s">
        <v>16</v>
      </c>
      <c r="AD35" s="16" t="n">
        <v>3</v>
      </c>
      <c r="AF35" s="16" t="s">
        <v>863</v>
      </c>
      <c r="AG35" s="16" t="n">
        <v>1</v>
      </c>
      <c r="AH35" s="16" t="s">
        <v>679</v>
      </c>
      <c r="AI35" s="16" t="s">
        <v>612</v>
      </c>
      <c r="AJ35" s="16" t="s">
        <v>680</v>
      </c>
      <c r="AK35" s="16" t="s">
        <v>658</v>
      </c>
      <c r="AL35" s="16" t="s">
        <v>615</v>
      </c>
      <c r="AM35" s="16" t="s">
        <v>122</v>
      </c>
      <c r="AN35" s="16" t="s">
        <v>122</v>
      </c>
      <c r="AO35" s="16" t="s">
        <v>720</v>
      </c>
    </row>
    <row r="36" customFormat="false" ht="15" hidden="false" customHeight="false" outlineLevel="0" collapsed="false">
      <c r="X36" s="16" t="s">
        <v>864</v>
      </c>
      <c r="Y36" s="16" t="s">
        <v>857</v>
      </c>
      <c r="Z36" s="16" t="s">
        <v>803</v>
      </c>
      <c r="AA36" s="16" t="s">
        <v>632</v>
      </c>
      <c r="AB36" s="16" t="s">
        <v>865</v>
      </c>
      <c r="AC36" s="16" t="s">
        <v>16</v>
      </c>
      <c r="AD36" s="16" t="n">
        <v>18</v>
      </c>
      <c r="AF36" s="16" t="s">
        <v>866</v>
      </c>
      <c r="AG36" s="16" t="n">
        <v>1</v>
      </c>
      <c r="AH36" s="16" t="s">
        <v>657</v>
      </c>
      <c r="AI36" s="16" t="s">
        <v>612</v>
      </c>
      <c r="AJ36" s="16" t="s">
        <v>719</v>
      </c>
      <c r="AK36" s="16" t="s">
        <v>614</v>
      </c>
      <c r="AL36" s="16" t="s">
        <v>615</v>
      </c>
      <c r="AM36" s="16" t="s">
        <v>122</v>
      </c>
      <c r="AN36" s="16" t="s">
        <v>122</v>
      </c>
      <c r="AO36" s="16" t="s">
        <v>867</v>
      </c>
    </row>
    <row r="37" customFormat="false" ht="15" hidden="false" customHeight="false" outlineLevel="0" collapsed="false">
      <c r="X37" s="16" t="s">
        <v>868</v>
      </c>
      <c r="Y37" s="16" t="s">
        <v>857</v>
      </c>
      <c r="Z37" s="16" t="s">
        <v>654</v>
      </c>
      <c r="AA37" s="16" t="s">
        <v>632</v>
      </c>
      <c r="AB37" s="16" t="s">
        <v>869</v>
      </c>
      <c r="AC37" s="16" t="s">
        <v>16</v>
      </c>
      <c r="AD37" s="16" t="n">
        <v>2</v>
      </c>
      <c r="AF37" s="16" t="s">
        <v>870</v>
      </c>
      <c r="AG37" s="16" t="n">
        <v>1</v>
      </c>
      <c r="AH37" s="16" t="s">
        <v>718</v>
      </c>
      <c r="AI37" s="16" t="s">
        <v>612</v>
      </c>
      <c r="AJ37" s="16" t="s">
        <v>795</v>
      </c>
      <c r="AK37" s="16" t="s">
        <v>614</v>
      </c>
      <c r="AL37" s="16" t="s">
        <v>871</v>
      </c>
      <c r="AM37" s="16" t="s">
        <v>121</v>
      </c>
      <c r="AN37" s="16" t="s">
        <v>122</v>
      </c>
      <c r="AO37" s="16" t="s">
        <v>845</v>
      </c>
    </row>
    <row r="38" customFormat="false" ht="15" hidden="false" customHeight="false" outlineLevel="0" collapsed="false">
      <c r="X38" s="16" t="s">
        <v>872</v>
      </c>
      <c r="Y38" s="16" t="s">
        <v>857</v>
      </c>
      <c r="Z38" s="16"/>
      <c r="AA38" s="16"/>
      <c r="AB38" s="16" t="s">
        <v>873</v>
      </c>
      <c r="AC38" s="16" t="s">
        <v>16</v>
      </c>
      <c r="AD38" s="16" t="n">
        <v>3</v>
      </c>
      <c r="AF38" s="16" t="s">
        <v>874</v>
      </c>
      <c r="AG38" s="16" t="n">
        <v>1</v>
      </c>
      <c r="AH38" s="16" t="s">
        <v>718</v>
      </c>
      <c r="AI38" s="16" t="s">
        <v>612</v>
      </c>
      <c r="AJ38" s="16" t="s">
        <v>795</v>
      </c>
      <c r="AK38" s="16" t="s">
        <v>614</v>
      </c>
      <c r="AL38" s="16" t="s">
        <v>871</v>
      </c>
      <c r="AM38" s="16" t="s">
        <v>121</v>
      </c>
      <c r="AN38" s="16" t="s">
        <v>121</v>
      </c>
      <c r="AO38" s="16" t="s">
        <v>875</v>
      </c>
    </row>
    <row r="39" customFormat="false" ht="15" hidden="false" customHeight="false" outlineLevel="0" collapsed="false">
      <c r="AF39" s="16" t="s">
        <v>876</v>
      </c>
      <c r="AG39" s="16" t="n">
        <v>1</v>
      </c>
      <c r="AH39" s="16" t="s">
        <v>718</v>
      </c>
      <c r="AI39" s="16" t="s">
        <v>612</v>
      </c>
      <c r="AJ39" s="16" t="s">
        <v>795</v>
      </c>
      <c r="AK39" s="16" t="s">
        <v>658</v>
      </c>
      <c r="AL39" s="16" t="s">
        <v>871</v>
      </c>
      <c r="AM39" s="16" t="s">
        <v>121</v>
      </c>
      <c r="AN39" s="16" t="s">
        <v>121</v>
      </c>
      <c r="AO39" s="16" t="s">
        <v>877</v>
      </c>
    </row>
    <row r="40" customFormat="false" ht="15" hidden="false" customHeight="false" outlineLevel="0" collapsed="false">
      <c r="AF40" s="16" t="s">
        <v>878</v>
      </c>
      <c r="AG40" s="16" t="n">
        <v>1</v>
      </c>
      <c r="AH40" s="16" t="s">
        <v>774</v>
      </c>
      <c r="AI40" s="16" t="s">
        <v>612</v>
      </c>
      <c r="AJ40" s="16" t="s">
        <v>795</v>
      </c>
      <c r="AK40" s="16" t="s">
        <v>614</v>
      </c>
      <c r="AL40" s="16" t="s">
        <v>731</v>
      </c>
      <c r="AM40" s="16" t="s">
        <v>122</v>
      </c>
      <c r="AN40" s="16" t="s">
        <v>122</v>
      </c>
      <c r="AO40" s="16" t="s">
        <v>660</v>
      </c>
    </row>
    <row r="41" customFormat="false" ht="15" hidden="false" customHeight="false" outlineLevel="0" collapsed="false">
      <c r="AF41" s="16" t="s">
        <v>879</v>
      </c>
      <c r="AG41" s="16" t="n">
        <v>1</v>
      </c>
      <c r="AH41" s="16" t="s">
        <v>657</v>
      </c>
      <c r="AI41" s="16" t="s">
        <v>814</v>
      </c>
      <c r="AJ41" s="16" t="s">
        <v>795</v>
      </c>
      <c r="AK41" s="16" t="s">
        <v>614</v>
      </c>
      <c r="AL41" s="16" t="s">
        <v>659</v>
      </c>
      <c r="AM41" s="16" t="s">
        <v>121</v>
      </c>
      <c r="AN41" s="16" t="s">
        <v>122</v>
      </c>
      <c r="AO41" s="16" t="s">
        <v>712</v>
      </c>
    </row>
    <row r="42" customFormat="false" ht="15" hidden="false" customHeight="false" outlineLevel="0" collapsed="false">
      <c r="AF42" s="16" t="s">
        <v>880</v>
      </c>
      <c r="AG42" s="16" t="n">
        <v>1</v>
      </c>
      <c r="AH42" s="16" t="s">
        <v>611</v>
      </c>
      <c r="AI42" s="16" t="s">
        <v>612</v>
      </c>
      <c r="AJ42" s="16" t="s">
        <v>881</v>
      </c>
      <c r="AK42" s="16" t="s">
        <v>614</v>
      </c>
      <c r="AL42" s="16" t="s">
        <v>659</v>
      </c>
      <c r="AM42" s="16" t="s">
        <v>121</v>
      </c>
      <c r="AN42" s="16" t="s">
        <v>122</v>
      </c>
      <c r="AO42" s="16" t="s">
        <v>668</v>
      </c>
    </row>
    <row r="43" customFormat="false" ht="15" hidden="false" customHeight="false" outlineLevel="0" collapsed="false">
      <c r="AF43" s="16" t="s">
        <v>882</v>
      </c>
      <c r="AG43" s="16" t="n">
        <v>1</v>
      </c>
      <c r="AH43" s="16" t="s">
        <v>679</v>
      </c>
      <c r="AI43" s="16" t="s">
        <v>814</v>
      </c>
      <c r="AJ43" s="16" t="s">
        <v>795</v>
      </c>
      <c r="AK43" s="16" t="s">
        <v>614</v>
      </c>
      <c r="AL43" s="16" t="s">
        <v>871</v>
      </c>
      <c r="AM43" s="16" t="s">
        <v>121</v>
      </c>
      <c r="AN43" s="16" t="s">
        <v>122</v>
      </c>
      <c r="AO43" s="16" t="s">
        <v>639</v>
      </c>
    </row>
    <row r="44" customFormat="false" ht="15" hidden="false" customHeight="false" outlineLevel="0" collapsed="false">
      <c r="AF44" s="16" t="s">
        <v>883</v>
      </c>
      <c r="AG44" s="16" t="n">
        <v>1</v>
      </c>
      <c r="AH44" s="16" t="s">
        <v>657</v>
      </c>
      <c r="AI44" s="16" t="s">
        <v>612</v>
      </c>
      <c r="AJ44" s="16" t="s">
        <v>613</v>
      </c>
      <c r="AK44" s="16" t="s">
        <v>822</v>
      </c>
      <c r="AL44" s="16" t="s">
        <v>659</v>
      </c>
      <c r="AM44" s="16" t="s">
        <v>121</v>
      </c>
      <c r="AN44" s="16" t="s">
        <v>122</v>
      </c>
      <c r="AO44" s="16" t="s">
        <v>668</v>
      </c>
    </row>
    <row r="45" customFormat="false" ht="15" hidden="false" customHeight="false" outlineLevel="0" collapsed="false">
      <c r="AF45" s="16" t="s">
        <v>884</v>
      </c>
      <c r="AG45" s="16" t="n">
        <v>1</v>
      </c>
      <c r="AH45" s="16" t="s">
        <v>636</v>
      </c>
      <c r="AI45" s="16" t="s">
        <v>612</v>
      </c>
      <c r="AJ45" s="16" t="s">
        <v>795</v>
      </c>
      <c r="AK45" s="16" t="s">
        <v>658</v>
      </c>
      <c r="AL45" s="16" t="s">
        <v>731</v>
      </c>
      <c r="AM45" s="16" t="s">
        <v>122</v>
      </c>
      <c r="AN45" s="16" t="s">
        <v>122</v>
      </c>
      <c r="AO45" s="16" t="s">
        <v>616</v>
      </c>
    </row>
    <row r="46" customFormat="false" ht="15" hidden="false" customHeight="false" outlineLevel="0" collapsed="false">
      <c r="AF46" s="16" t="s">
        <v>885</v>
      </c>
      <c r="AG46" s="16" t="n">
        <v>1</v>
      </c>
      <c r="AH46" s="16" t="s">
        <v>679</v>
      </c>
      <c r="AI46" s="16" t="s">
        <v>886</v>
      </c>
      <c r="AJ46" s="16" t="s">
        <v>613</v>
      </c>
      <c r="AK46" s="16" t="s">
        <v>730</v>
      </c>
      <c r="AL46" s="16" t="s">
        <v>743</v>
      </c>
      <c r="AM46" s="16" t="s">
        <v>122</v>
      </c>
      <c r="AN46" s="16" t="s">
        <v>122</v>
      </c>
      <c r="AO46" s="16" t="s">
        <v>660</v>
      </c>
    </row>
    <row r="47" customFormat="false" ht="15" hidden="false" customHeight="false" outlineLevel="0" collapsed="false">
      <c r="AF47" s="16" t="s">
        <v>887</v>
      </c>
      <c r="AG47" s="16" t="n">
        <v>1</v>
      </c>
      <c r="AH47" s="16" t="s">
        <v>611</v>
      </c>
      <c r="AI47" s="16" t="s">
        <v>731</v>
      </c>
      <c r="AJ47" s="16" t="s">
        <v>781</v>
      </c>
      <c r="AK47" s="16" t="s">
        <v>658</v>
      </c>
      <c r="AL47" s="16" t="s">
        <v>615</v>
      </c>
      <c r="AM47" s="16" t="s">
        <v>122</v>
      </c>
      <c r="AN47" s="16" t="s">
        <v>121</v>
      </c>
      <c r="AO47" s="16" t="s">
        <v>768</v>
      </c>
    </row>
    <row r="48" customFormat="false" ht="15" hidden="false" customHeight="false" outlineLevel="0" collapsed="false">
      <c r="AF48" s="16" t="s">
        <v>888</v>
      </c>
      <c r="AG48" s="16" t="n">
        <v>1</v>
      </c>
      <c r="AH48" s="16" t="s">
        <v>611</v>
      </c>
      <c r="AI48" s="16" t="s">
        <v>612</v>
      </c>
      <c r="AJ48" s="16" t="s">
        <v>680</v>
      </c>
      <c r="AK48" s="16" t="s">
        <v>658</v>
      </c>
      <c r="AL48" s="16" t="s">
        <v>731</v>
      </c>
      <c r="AM48" s="16" t="s">
        <v>122</v>
      </c>
      <c r="AN48" s="16" t="s">
        <v>121</v>
      </c>
      <c r="AO48" s="16" t="s">
        <v>768</v>
      </c>
    </row>
    <row r="49" customFormat="false" ht="15" hidden="false" customHeight="false" outlineLevel="0" collapsed="false">
      <c r="AF49" s="16" t="s">
        <v>889</v>
      </c>
      <c r="AG49" s="16" t="n">
        <v>1</v>
      </c>
      <c r="AH49" s="16" t="s">
        <v>611</v>
      </c>
      <c r="AI49" s="16" t="s">
        <v>612</v>
      </c>
      <c r="AJ49" s="16" t="s">
        <v>637</v>
      </c>
      <c r="AK49" s="16" t="s">
        <v>614</v>
      </c>
      <c r="AL49" s="16" t="s">
        <v>890</v>
      </c>
      <c r="AM49" s="16" t="s">
        <v>121</v>
      </c>
      <c r="AN49" s="16" t="s">
        <v>122</v>
      </c>
      <c r="AO49" s="16" t="s">
        <v>891</v>
      </c>
    </row>
    <row r="50" customFormat="false" ht="15" hidden="false" customHeight="false" outlineLevel="0" collapsed="false">
      <c r="AF50" s="16" t="s">
        <v>892</v>
      </c>
      <c r="AG50" s="16" t="n">
        <v>1</v>
      </c>
      <c r="AH50" s="16" t="s">
        <v>679</v>
      </c>
      <c r="AI50" s="16" t="s">
        <v>612</v>
      </c>
      <c r="AJ50" s="16" t="s">
        <v>719</v>
      </c>
      <c r="AK50" s="16" t="s">
        <v>658</v>
      </c>
      <c r="AL50" s="16" t="s">
        <v>615</v>
      </c>
      <c r="AM50" s="16" t="s">
        <v>122</v>
      </c>
      <c r="AN50" s="16" t="s">
        <v>122</v>
      </c>
      <c r="AO50" s="16" t="s">
        <v>893</v>
      </c>
    </row>
    <row r="51" customFormat="false" ht="15" hidden="false" customHeight="false" outlineLevel="0" collapsed="false">
      <c r="AF51" s="16" t="s">
        <v>894</v>
      </c>
      <c r="AG51" s="16" t="n">
        <v>1</v>
      </c>
      <c r="AH51" s="16" t="s">
        <v>611</v>
      </c>
      <c r="AI51" s="16" t="s">
        <v>612</v>
      </c>
      <c r="AJ51" s="16" t="s">
        <v>613</v>
      </c>
      <c r="AK51" s="16" t="s">
        <v>658</v>
      </c>
      <c r="AL51" s="16" t="s">
        <v>743</v>
      </c>
      <c r="AM51" s="16" t="s">
        <v>122</v>
      </c>
      <c r="AN51" s="16" t="s">
        <v>122</v>
      </c>
      <c r="AO51" s="16" t="s">
        <v>768</v>
      </c>
    </row>
    <row r="52" customFormat="false" ht="15" hidden="false" customHeight="false" outlineLevel="0" collapsed="false">
      <c r="AF52" s="16" t="s">
        <v>895</v>
      </c>
      <c r="AG52" s="16" t="n">
        <v>1</v>
      </c>
      <c r="AH52" s="16" t="s">
        <v>657</v>
      </c>
      <c r="AI52" s="16" t="s">
        <v>612</v>
      </c>
      <c r="AJ52" s="16" t="s">
        <v>637</v>
      </c>
      <c r="AK52" s="16" t="s">
        <v>614</v>
      </c>
      <c r="AL52" s="16" t="s">
        <v>638</v>
      </c>
      <c r="AM52" s="16" t="s">
        <v>122</v>
      </c>
      <c r="AN52" s="16" t="s">
        <v>122</v>
      </c>
      <c r="AO52" s="16" t="s">
        <v>648</v>
      </c>
    </row>
    <row r="53" customFormat="false" ht="15" hidden="false" customHeight="false" outlineLevel="0" collapsed="false">
      <c r="AF53" s="16" t="s">
        <v>896</v>
      </c>
      <c r="AG53" s="16" t="n">
        <v>1</v>
      </c>
      <c r="AH53" s="16" t="s">
        <v>657</v>
      </c>
      <c r="AI53" s="16" t="s">
        <v>814</v>
      </c>
      <c r="AJ53" s="16" t="s">
        <v>613</v>
      </c>
      <c r="AK53" s="16" t="s">
        <v>822</v>
      </c>
      <c r="AL53" s="16" t="s">
        <v>615</v>
      </c>
      <c r="AM53" s="16" t="s">
        <v>122</v>
      </c>
      <c r="AN53" s="16" t="s">
        <v>122</v>
      </c>
      <c r="AO53" s="16" t="s">
        <v>897</v>
      </c>
    </row>
    <row r="54" customFormat="false" ht="15" hidden="false" customHeight="false" outlineLevel="0" collapsed="false">
      <c r="AF54" s="16" t="s">
        <v>898</v>
      </c>
      <c r="AG54" s="16" t="n">
        <v>1</v>
      </c>
      <c r="AH54" s="16" t="s">
        <v>657</v>
      </c>
      <c r="AI54" s="16" t="s">
        <v>886</v>
      </c>
      <c r="AJ54" s="16" t="s">
        <v>613</v>
      </c>
      <c r="AK54" s="16" t="s">
        <v>614</v>
      </c>
      <c r="AL54" s="16" t="s">
        <v>615</v>
      </c>
      <c r="AM54" s="16" t="s">
        <v>122</v>
      </c>
      <c r="AN54" s="16" t="s">
        <v>122</v>
      </c>
      <c r="AO54" s="16" t="s">
        <v>695</v>
      </c>
    </row>
    <row r="55" customFormat="false" ht="15" hidden="false" customHeight="false" outlineLevel="0" collapsed="false">
      <c r="AF55" s="16" t="s">
        <v>899</v>
      </c>
      <c r="AG55" s="16" t="n">
        <v>1</v>
      </c>
      <c r="AH55" s="16" t="s">
        <v>829</v>
      </c>
      <c r="AI55" s="16" t="s">
        <v>612</v>
      </c>
      <c r="AJ55" s="16" t="s">
        <v>719</v>
      </c>
      <c r="AK55" s="16" t="s">
        <v>614</v>
      </c>
      <c r="AL55" s="16" t="s">
        <v>659</v>
      </c>
      <c r="AM55" s="16" t="s">
        <v>121</v>
      </c>
      <c r="AN55" s="16" t="s">
        <v>122</v>
      </c>
      <c r="AO55" s="16" t="s">
        <v>900</v>
      </c>
    </row>
    <row r="56" customFormat="false" ht="15" hidden="false" customHeight="false" outlineLevel="0" collapsed="false">
      <c r="AF56" s="16" t="s">
        <v>901</v>
      </c>
      <c r="AG56" s="16" t="n">
        <v>1</v>
      </c>
      <c r="AH56" s="16" t="s">
        <v>829</v>
      </c>
      <c r="AI56" s="16" t="s">
        <v>612</v>
      </c>
      <c r="AJ56" s="16" t="s">
        <v>680</v>
      </c>
      <c r="AK56" s="16" t="s">
        <v>658</v>
      </c>
      <c r="AL56" s="16" t="s">
        <v>659</v>
      </c>
      <c r="AM56" s="16" t="s">
        <v>121</v>
      </c>
      <c r="AN56" s="16" t="s">
        <v>122</v>
      </c>
      <c r="AO56" s="16" t="s">
        <v>902</v>
      </c>
    </row>
    <row r="57" customFormat="false" ht="15" hidden="false" customHeight="false" outlineLevel="0" collapsed="false">
      <c r="AF57" s="16" t="s">
        <v>903</v>
      </c>
      <c r="AG57" s="16" t="n">
        <v>1</v>
      </c>
      <c r="AH57" s="16" t="s">
        <v>718</v>
      </c>
      <c r="AI57" s="16" t="s">
        <v>814</v>
      </c>
      <c r="AJ57" s="16" t="s">
        <v>881</v>
      </c>
      <c r="AK57" s="16" t="s">
        <v>822</v>
      </c>
      <c r="AL57" s="16" t="s">
        <v>890</v>
      </c>
      <c r="AM57" s="16" t="s">
        <v>121</v>
      </c>
      <c r="AN57" s="16" t="s">
        <v>122</v>
      </c>
      <c r="AO57" s="16" t="s">
        <v>724</v>
      </c>
    </row>
    <row r="58" customFormat="false" ht="15" hidden="false" customHeight="false" outlineLevel="0" collapsed="false">
      <c r="AF58" s="16" t="s">
        <v>904</v>
      </c>
      <c r="AG58" s="16" t="n">
        <v>1</v>
      </c>
      <c r="AH58" s="16" t="s">
        <v>718</v>
      </c>
      <c r="AI58" s="16" t="s">
        <v>743</v>
      </c>
      <c r="AJ58" s="16" t="s">
        <v>719</v>
      </c>
      <c r="AK58" s="16" t="s">
        <v>658</v>
      </c>
      <c r="AL58" s="16" t="s">
        <v>615</v>
      </c>
      <c r="AM58" s="16" t="s">
        <v>122</v>
      </c>
      <c r="AN58" s="16" t="s">
        <v>121</v>
      </c>
      <c r="AO58" s="16" t="s">
        <v>902</v>
      </c>
    </row>
    <row r="59" customFormat="false" ht="15" hidden="false" customHeight="false" outlineLevel="0" collapsed="false">
      <c r="AF59" s="16" t="s">
        <v>905</v>
      </c>
      <c r="AG59" s="16" t="n">
        <v>1</v>
      </c>
      <c r="AH59" s="16" t="s">
        <v>774</v>
      </c>
      <c r="AI59" s="16" t="s">
        <v>743</v>
      </c>
      <c r="AJ59" s="16" t="s">
        <v>719</v>
      </c>
      <c r="AK59" s="16" t="s">
        <v>775</v>
      </c>
      <c r="AL59" s="16" t="s">
        <v>906</v>
      </c>
      <c r="AM59" s="16" t="s">
        <v>122</v>
      </c>
      <c r="AN59" s="16" t="s">
        <v>121</v>
      </c>
      <c r="AO59" s="16" t="s">
        <v>907</v>
      </c>
    </row>
    <row r="60" customFormat="false" ht="15" hidden="false" customHeight="false" outlineLevel="0" collapsed="false">
      <c r="AF60" s="16" t="s">
        <v>908</v>
      </c>
      <c r="AG60" s="16" t="n">
        <v>1</v>
      </c>
      <c r="AH60" s="16" t="s">
        <v>636</v>
      </c>
      <c r="AI60" s="16" t="s">
        <v>612</v>
      </c>
      <c r="AJ60" s="16" t="s">
        <v>719</v>
      </c>
      <c r="AK60" s="16" t="s">
        <v>614</v>
      </c>
      <c r="AL60" s="16" t="s">
        <v>615</v>
      </c>
      <c r="AM60" s="16" t="s">
        <v>122</v>
      </c>
      <c r="AN60" s="16" t="s">
        <v>122</v>
      </c>
      <c r="AO60" s="16" t="s">
        <v>648</v>
      </c>
    </row>
    <row r="61" customFormat="false" ht="15" hidden="false" customHeight="false" outlineLevel="0" collapsed="false">
      <c r="AF61" s="16" t="s">
        <v>909</v>
      </c>
      <c r="AG61" s="16" t="n">
        <v>1</v>
      </c>
      <c r="AH61" s="16" t="s">
        <v>679</v>
      </c>
      <c r="AI61" s="16" t="s">
        <v>612</v>
      </c>
      <c r="AJ61" s="16" t="s">
        <v>719</v>
      </c>
      <c r="AK61" s="16" t="s">
        <v>658</v>
      </c>
      <c r="AL61" s="16" t="s">
        <v>743</v>
      </c>
      <c r="AM61" s="16" t="s">
        <v>122</v>
      </c>
      <c r="AN61" s="16" t="s">
        <v>122</v>
      </c>
      <c r="AO61" s="16" t="s">
        <v>891</v>
      </c>
    </row>
    <row r="62" customFormat="false" ht="15" hidden="false" customHeight="false" outlineLevel="0" collapsed="false">
      <c r="AF62" s="16" t="s">
        <v>910</v>
      </c>
      <c r="AG62" s="16" t="n">
        <v>1</v>
      </c>
      <c r="AH62" s="16" t="s">
        <v>679</v>
      </c>
      <c r="AI62" s="16" t="s">
        <v>612</v>
      </c>
      <c r="AJ62" s="16" t="s">
        <v>719</v>
      </c>
      <c r="AK62" s="16" t="s">
        <v>658</v>
      </c>
      <c r="AL62" s="16" t="s">
        <v>731</v>
      </c>
      <c r="AM62" s="16" t="s">
        <v>122</v>
      </c>
      <c r="AN62" s="16" t="s">
        <v>122</v>
      </c>
      <c r="AO62" s="16" t="s">
        <v>911</v>
      </c>
    </row>
    <row r="63" customFormat="false" ht="15" hidden="false" customHeight="false" outlineLevel="0" collapsed="false">
      <c r="AF63" s="16" t="s">
        <v>912</v>
      </c>
      <c r="AG63" s="16" t="n">
        <v>1</v>
      </c>
      <c r="AH63" s="16" t="s">
        <v>806</v>
      </c>
      <c r="AI63" s="16" t="s">
        <v>612</v>
      </c>
      <c r="AJ63" s="16" t="s">
        <v>719</v>
      </c>
      <c r="AK63" s="16" t="s">
        <v>658</v>
      </c>
      <c r="AL63" s="16" t="s">
        <v>832</v>
      </c>
      <c r="AM63" s="16" t="s">
        <v>122</v>
      </c>
      <c r="AN63" s="16" t="s">
        <v>122</v>
      </c>
      <c r="AO63" s="16" t="s">
        <v>616</v>
      </c>
    </row>
    <row r="64" customFormat="false" ht="15" hidden="false" customHeight="false" outlineLevel="0" collapsed="false">
      <c r="AF64" s="16" t="s">
        <v>913</v>
      </c>
      <c r="AG64" s="16" t="n">
        <v>1</v>
      </c>
      <c r="AH64" s="16" t="s">
        <v>657</v>
      </c>
      <c r="AI64" s="16" t="s">
        <v>612</v>
      </c>
      <c r="AJ64" s="16" t="s">
        <v>637</v>
      </c>
      <c r="AK64" s="16" t="s">
        <v>614</v>
      </c>
      <c r="AL64" s="16" t="s">
        <v>615</v>
      </c>
      <c r="AM64" s="16" t="s">
        <v>122</v>
      </c>
      <c r="AN64" s="16" t="s">
        <v>122</v>
      </c>
      <c r="AO64" s="16" t="s">
        <v>616</v>
      </c>
    </row>
    <row r="65" customFormat="false" ht="15" hidden="false" customHeight="false" outlineLevel="0" collapsed="false">
      <c r="AF65" s="16" t="s">
        <v>914</v>
      </c>
      <c r="AG65" s="16" t="n">
        <v>1</v>
      </c>
      <c r="AH65" s="16" t="s">
        <v>806</v>
      </c>
      <c r="AI65" s="16" t="s">
        <v>612</v>
      </c>
      <c r="AJ65" s="16" t="s">
        <v>719</v>
      </c>
      <c r="AK65" s="16" t="s">
        <v>658</v>
      </c>
      <c r="AL65" s="16" t="s">
        <v>871</v>
      </c>
      <c r="AM65" s="16" t="s">
        <v>121</v>
      </c>
      <c r="AN65" s="16" t="s">
        <v>122</v>
      </c>
      <c r="AO65" s="16" t="s">
        <v>915</v>
      </c>
    </row>
    <row r="66" customFormat="false" ht="15" hidden="false" customHeight="false" outlineLevel="0" collapsed="false">
      <c r="AF66" s="16" t="s">
        <v>916</v>
      </c>
      <c r="AG66" s="16" t="n">
        <v>1</v>
      </c>
      <c r="AH66" s="16" t="s">
        <v>679</v>
      </c>
      <c r="AI66" s="16" t="s">
        <v>612</v>
      </c>
      <c r="AJ66" s="16" t="s">
        <v>781</v>
      </c>
      <c r="AK66" s="16" t="s">
        <v>614</v>
      </c>
      <c r="AL66" s="16" t="s">
        <v>615</v>
      </c>
      <c r="AM66" s="16" t="s">
        <v>122</v>
      </c>
      <c r="AN66" s="16" t="s">
        <v>121</v>
      </c>
      <c r="AO66" s="16" t="s">
        <v>917</v>
      </c>
    </row>
    <row r="67" customFormat="false" ht="15" hidden="false" customHeight="false" outlineLevel="0" collapsed="false">
      <c r="AF67" s="16" t="s">
        <v>918</v>
      </c>
      <c r="AG67" s="16" t="n">
        <v>1</v>
      </c>
      <c r="AH67" s="16" t="s">
        <v>806</v>
      </c>
      <c r="AI67" s="16" t="s">
        <v>814</v>
      </c>
      <c r="AJ67" s="16" t="s">
        <v>680</v>
      </c>
      <c r="AK67" s="16" t="s">
        <v>658</v>
      </c>
      <c r="AL67" s="16" t="s">
        <v>743</v>
      </c>
      <c r="AM67" s="16" t="s">
        <v>122</v>
      </c>
      <c r="AN67" s="16" t="s">
        <v>122</v>
      </c>
      <c r="AO67" s="16" t="s">
        <v>648</v>
      </c>
    </row>
    <row r="68" customFormat="false" ht="15" hidden="false" customHeight="false" outlineLevel="0" collapsed="false">
      <c r="AF68" s="16" t="s">
        <v>124</v>
      </c>
      <c r="AG68" s="16" t="n">
        <v>1</v>
      </c>
      <c r="AH68" s="16" t="s">
        <v>806</v>
      </c>
      <c r="AI68" s="16" t="s">
        <v>886</v>
      </c>
      <c r="AJ68" s="16" t="s">
        <v>795</v>
      </c>
      <c r="AK68" s="16" t="s">
        <v>614</v>
      </c>
      <c r="AL68" s="16" t="s">
        <v>638</v>
      </c>
      <c r="AM68" s="16" t="s">
        <v>122</v>
      </c>
      <c r="AN68" s="16" t="s">
        <v>122</v>
      </c>
      <c r="AO68" s="16" t="s">
        <v>616</v>
      </c>
    </row>
    <row r="69" customFormat="false" ht="15" hidden="false" customHeight="false" outlineLevel="0" collapsed="false">
      <c r="AF69" s="16" t="s">
        <v>919</v>
      </c>
      <c r="AG69" s="16" t="n">
        <v>1</v>
      </c>
      <c r="AH69" s="16" t="s">
        <v>806</v>
      </c>
      <c r="AI69" s="16" t="s">
        <v>814</v>
      </c>
      <c r="AJ69" s="16" t="s">
        <v>613</v>
      </c>
      <c r="AK69" s="16" t="s">
        <v>658</v>
      </c>
      <c r="AL69" s="16" t="s">
        <v>871</v>
      </c>
      <c r="AM69" s="16" t="s">
        <v>121</v>
      </c>
      <c r="AN69" s="16" t="s">
        <v>122</v>
      </c>
      <c r="AO69" s="16" t="s">
        <v>845</v>
      </c>
    </row>
    <row r="70" customFormat="false" ht="15" hidden="false" customHeight="false" outlineLevel="0" collapsed="false">
      <c r="AF70" s="16" t="s">
        <v>920</v>
      </c>
      <c r="AG70" s="16" t="n">
        <v>1</v>
      </c>
      <c r="AH70" s="16" t="s">
        <v>774</v>
      </c>
      <c r="AI70" s="16" t="s">
        <v>612</v>
      </c>
      <c r="AJ70" s="16" t="s">
        <v>613</v>
      </c>
      <c r="AK70" s="16" t="s">
        <v>658</v>
      </c>
      <c r="AL70" s="16" t="s">
        <v>871</v>
      </c>
      <c r="AM70" s="16" t="s">
        <v>121</v>
      </c>
      <c r="AN70" s="16" t="s">
        <v>122</v>
      </c>
      <c r="AO70" s="16" t="s">
        <v>660</v>
      </c>
    </row>
    <row r="71" customFormat="false" ht="15" hidden="false" customHeight="false" outlineLevel="0" collapsed="false">
      <c r="AF71" s="16" t="s">
        <v>921</v>
      </c>
      <c r="AG71" s="16" t="n">
        <v>1</v>
      </c>
      <c r="AH71" s="16" t="s">
        <v>829</v>
      </c>
      <c r="AI71" s="16" t="s">
        <v>612</v>
      </c>
      <c r="AJ71" s="16" t="s">
        <v>881</v>
      </c>
      <c r="AK71" s="16" t="s">
        <v>658</v>
      </c>
      <c r="AL71" s="16" t="s">
        <v>743</v>
      </c>
      <c r="AM71" s="16" t="s">
        <v>122</v>
      </c>
      <c r="AN71" s="16" t="s">
        <v>122</v>
      </c>
      <c r="AO71" s="16" t="s">
        <v>660</v>
      </c>
    </row>
    <row r="72" customFormat="false" ht="15" hidden="false" customHeight="false" outlineLevel="0" collapsed="false">
      <c r="AF72" s="16" t="s">
        <v>922</v>
      </c>
      <c r="AG72" s="16" t="n">
        <v>1</v>
      </c>
      <c r="AH72" s="16" t="s">
        <v>718</v>
      </c>
      <c r="AI72" s="16" t="s">
        <v>612</v>
      </c>
      <c r="AJ72" s="16" t="s">
        <v>795</v>
      </c>
      <c r="AK72" s="16" t="s">
        <v>614</v>
      </c>
      <c r="AL72" s="16" t="s">
        <v>796</v>
      </c>
      <c r="AM72" s="16" t="s">
        <v>122</v>
      </c>
      <c r="AN72" s="16" t="s">
        <v>121</v>
      </c>
      <c r="AO72" s="16" t="s">
        <v>838</v>
      </c>
    </row>
    <row r="73" customFormat="false" ht="15" hidden="false" customHeight="false" outlineLevel="0" collapsed="false">
      <c r="AF73" s="16" t="s">
        <v>923</v>
      </c>
      <c r="AG73" s="16" t="n">
        <v>1</v>
      </c>
      <c r="AH73" s="16" t="s">
        <v>657</v>
      </c>
      <c r="AI73" s="16" t="s">
        <v>612</v>
      </c>
      <c r="AJ73" s="16" t="s">
        <v>795</v>
      </c>
      <c r="AK73" s="16" t="s">
        <v>614</v>
      </c>
      <c r="AL73" s="16" t="s">
        <v>615</v>
      </c>
      <c r="AM73" s="16" t="s">
        <v>122</v>
      </c>
      <c r="AN73" s="16" t="s">
        <v>122</v>
      </c>
      <c r="AO73" s="16" t="s">
        <v>924</v>
      </c>
    </row>
    <row r="74" customFormat="false" ht="15" hidden="false" customHeight="false" outlineLevel="0" collapsed="false">
      <c r="AF74" s="16" t="s">
        <v>925</v>
      </c>
      <c r="AG74" s="16" t="n">
        <v>1</v>
      </c>
      <c r="AH74" s="16" t="s">
        <v>611</v>
      </c>
      <c r="AI74" s="16" t="s">
        <v>612</v>
      </c>
      <c r="AJ74" s="16" t="s">
        <v>613</v>
      </c>
      <c r="AK74" s="16" t="s">
        <v>658</v>
      </c>
      <c r="AL74" s="16" t="s">
        <v>731</v>
      </c>
      <c r="AM74" s="16" t="s">
        <v>122</v>
      </c>
      <c r="AN74" s="16" t="s">
        <v>121</v>
      </c>
      <c r="AO74" s="16" t="s">
        <v>907</v>
      </c>
    </row>
    <row r="75" customFormat="false" ht="15" hidden="false" customHeight="false" outlineLevel="0" collapsed="false">
      <c r="AF75" s="16" t="s">
        <v>926</v>
      </c>
      <c r="AG75" s="16" t="n">
        <v>2</v>
      </c>
      <c r="AH75" s="16" t="s">
        <v>657</v>
      </c>
      <c r="AI75" s="16" t="s">
        <v>612</v>
      </c>
      <c r="AJ75" s="16" t="s">
        <v>881</v>
      </c>
      <c r="AK75" s="16" t="s">
        <v>658</v>
      </c>
      <c r="AL75" s="16" t="s">
        <v>615</v>
      </c>
      <c r="AM75" s="16" t="s">
        <v>122</v>
      </c>
      <c r="AN75" s="16" t="s">
        <v>122</v>
      </c>
      <c r="AO75" s="16" t="s">
        <v>768</v>
      </c>
    </row>
    <row r="76" customFormat="false" ht="15" hidden="false" customHeight="false" outlineLevel="0" collapsed="false">
      <c r="AF76" s="16" t="s">
        <v>927</v>
      </c>
      <c r="AG76" s="16" t="n">
        <v>2</v>
      </c>
      <c r="AH76" s="16" t="s">
        <v>806</v>
      </c>
      <c r="AI76" s="16" t="s">
        <v>612</v>
      </c>
      <c r="AJ76" s="16" t="s">
        <v>680</v>
      </c>
      <c r="AK76" s="16" t="s">
        <v>658</v>
      </c>
      <c r="AL76" s="16" t="s">
        <v>832</v>
      </c>
      <c r="AM76" s="16" t="s">
        <v>122</v>
      </c>
      <c r="AN76" s="16" t="s">
        <v>122</v>
      </c>
      <c r="AO76" s="16" t="s">
        <v>845</v>
      </c>
    </row>
    <row r="77" customFormat="false" ht="15" hidden="false" customHeight="false" outlineLevel="0" collapsed="false">
      <c r="AF77" s="16" t="s">
        <v>928</v>
      </c>
      <c r="AG77" s="16" t="n">
        <v>2</v>
      </c>
      <c r="AH77" s="16" t="s">
        <v>679</v>
      </c>
      <c r="AI77" s="16" t="s">
        <v>612</v>
      </c>
      <c r="AJ77" s="16" t="s">
        <v>795</v>
      </c>
      <c r="AK77" s="16" t="s">
        <v>614</v>
      </c>
      <c r="AL77" s="16" t="s">
        <v>890</v>
      </c>
      <c r="AM77" s="16" t="s">
        <v>121</v>
      </c>
      <c r="AN77" s="16" t="s">
        <v>122</v>
      </c>
      <c r="AO77" s="16" t="s">
        <v>616</v>
      </c>
    </row>
    <row r="78" customFormat="false" ht="15" hidden="false" customHeight="false" outlineLevel="0" collapsed="false">
      <c r="AF78" s="16" t="s">
        <v>929</v>
      </c>
      <c r="AG78" s="16" t="n">
        <v>2</v>
      </c>
      <c r="AH78" s="16" t="s">
        <v>829</v>
      </c>
      <c r="AI78" s="16" t="s">
        <v>612</v>
      </c>
      <c r="AJ78" s="16" t="s">
        <v>680</v>
      </c>
      <c r="AK78" s="16" t="s">
        <v>658</v>
      </c>
      <c r="AL78" s="16" t="s">
        <v>837</v>
      </c>
      <c r="AM78" s="16" t="s">
        <v>122</v>
      </c>
      <c r="AN78" s="16" t="s">
        <v>121</v>
      </c>
      <c r="AO78" s="16" t="s">
        <v>838</v>
      </c>
    </row>
    <row r="79" customFormat="false" ht="15" hidden="false" customHeight="false" outlineLevel="0" collapsed="false">
      <c r="AF79" s="16" t="s">
        <v>930</v>
      </c>
      <c r="AG79" s="16" t="n">
        <v>2</v>
      </c>
      <c r="AH79" s="16" t="s">
        <v>806</v>
      </c>
      <c r="AI79" s="16" t="s">
        <v>612</v>
      </c>
      <c r="AJ79" s="16" t="s">
        <v>719</v>
      </c>
      <c r="AK79" s="16" t="s">
        <v>658</v>
      </c>
      <c r="AL79" s="16" t="s">
        <v>931</v>
      </c>
      <c r="AM79" s="16" t="s">
        <v>122</v>
      </c>
      <c r="AN79" s="16" t="s">
        <v>122</v>
      </c>
      <c r="AO79" s="16" t="s">
        <v>768</v>
      </c>
    </row>
    <row r="80" customFormat="false" ht="15" hidden="false" customHeight="false" outlineLevel="0" collapsed="false">
      <c r="AF80" s="16" t="s">
        <v>932</v>
      </c>
      <c r="AG80" s="16" t="n">
        <v>2</v>
      </c>
      <c r="AH80" s="16" t="s">
        <v>774</v>
      </c>
      <c r="AI80" s="16" t="s">
        <v>612</v>
      </c>
      <c r="AJ80" s="16" t="s">
        <v>719</v>
      </c>
      <c r="AK80" s="16" t="s">
        <v>658</v>
      </c>
      <c r="AL80" s="16" t="s">
        <v>837</v>
      </c>
      <c r="AM80" s="16" t="s">
        <v>122</v>
      </c>
      <c r="AN80" s="16" t="s">
        <v>122</v>
      </c>
      <c r="AO80" s="16" t="s">
        <v>768</v>
      </c>
    </row>
    <row r="81" customFormat="false" ht="15" hidden="false" customHeight="false" outlineLevel="0" collapsed="false">
      <c r="AF81" s="16" t="s">
        <v>933</v>
      </c>
      <c r="AG81" s="16" t="n">
        <v>2</v>
      </c>
      <c r="AH81" s="16" t="s">
        <v>718</v>
      </c>
      <c r="AI81" s="16" t="s">
        <v>743</v>
      </c>
      <c r="AJ81" s="16" t="s">
        <v>795</v>
      </c>
      <c r="AK81" s="16" t="s">
        <v>658</v>
      </c>
      <c r="AL81" s="16" t="s">
        <v>615</v>
      </c>
      <c r="AM81" s="16" t="s">
        <v>122</v>
      </c>
      <c r="AN81" s="16" t="s">
        <v>121</v>
      </c>
      <c r="AO81" s="16" t="s">
        <v>648</v>
      </c>
    </row>
    <row r="82" customFormat="false" ht="15" hidden="false" customHeight="false" outlineLevel="0" collapsed="false">
      <c r="AF82" s="16" t="s">
        <v>934</v>
      </c>
      <c r="AG82" s="16" t="n">
        <v>2</v>
      </c>
      <c r="AH82" s="16" t="s">
        <v>679</v>
      </c>
      <c r="AI82" s="16" t="s">
        <v>612</v>
      </c>
      <c r="AJ82" s="16" t="s">
        <v>719</v>
      </c>
      <c r="AK82" s="16" t="s">
        <v>658</v>
      </c>
      <c r="AL82" s="16" t="s">
        <v>890</v>
      </c>
      <c r="AM82" s="16" t="s">
        <v>121</v>
      </c>
      <c r="AN82" s="16" t="s">
        <v>122</v>
      </c>
      <c r="AO82" s="16" t="s">
        <v>893</v>
      </c>
    </row>
    <row r="83" customFormat="false" ht="15" hidden="false" customHeight="false" outlineLevel="0" collapsed="false">
      <c r="AF83" s="16" t="s">
        <v>935</v>
      </c>
      <c r="AG83" s="16" t="n">
        <v>2</v>
      </c>
      <c r="AH83" s="16" t="s">
        <v>636</v>
      </c>
      <c r="AI83" s="16" t="s">
        <v>612</v>
      </c>
      <c r="AJ83" s="16" t="s">
        <v>680</v>
      </c>
      <c r="AK83" s="16" t="s">
        <v>822</v>
      </c>
      <c r="AL83" s="16" t="s">
        <v>743</v>
      </c>
      <c r="AM83" s="16" t="s">
        <v>122</v>
      </c>
      <c r="AN83" s="16" t="s">
        <v>122</v>
      </c>
      <c r="AO83" s="16" t="s">
        <v>732</v>
      </c>
    </row>
    <row r="84" customFormat="false" ht="15" hidden="false" customHeight="false" outlineLevel="0" collapsed="false">
      <c r="AF84" s="16" t="s">
        <v>936</v>
      </c>
      <c r="AG84" s="16" t="n">
        <v>2</v>
      </c>
      <c r="AH84" s="16" t="s">
        <v>774</v>
      </c>
      <c r="AI84" s="16" t="s">
        <v>612</v>
      </c>
      <c r="AJ84" s="16" t="s">
        <v>795</v>
      </c>
      <c r="AK84" s="16" t="s">
        <v>822</v>
      </c>
      <c r="AL84" s="16" t="s">
        <v>659</v>
      </c>
      <c r="AM84" s="16" t="s">
        <v>121</v>
      </c>
      <c r="AN84" s="16" t="s">
        <v>122</v>
      </c>
      <c r="AO84" s="16" t="s">
        <v>616</v>
      </c>
    </row>
    <row r="85" customFormat="false" ht="15" hidden="false" customHeight="false" outlineLevel="0" collapsed="false">
      <c r="AF85" s="16" t="s">
        <v>937</v>
      </c>
      <c r="AG85" s="16" t="n">
        <v>2</v>
      </c>
      <c r="AH85" s="16" t="s">
        <v>657</v>
      </c>
      <c r="AI85" s="16" t="s">
        <v>814</v>
      </c>
      <c r="AJ85" s="16" t="s">
        <v>795</v>
      </c>
      <c r="AK85" s="16" t="s">
        <v>822</v>
      </c>
      <c r="AL85" s="16" t="s">
        <v>659</v>
      </c>
      <c r="AM85" s="16" t="s">
        <v>121</v>
      </c>
      <c r="AN85" s="16" t="s">
        <v>122</v>
      </c>
      <c r="AO85" s="16" t="s">
        <v>712</v>
      </c>
    </row>
    <row r="86" customFormat="false" ht="15" hidden="false" customHeight="false" outlineLevel="0" collapsed="false">
      <c r="AF86" s="16" t="s">
        <v>938</v>
      </c>
      <c r="AG86" s="16" t="n">
        <v>2</v>
      </c>
      <c r="AH86" s="16" t="s">
        <v>829</v>
      </c>
      <c r="AI86" s="16" t="s">
        <v>612</v>
      </c>
      <c r="AJ86" s="16" t="s">
        <v>613</v>
      </c>
      <c r="AK86" s="16" t="s">
        <v>614</v>
      </c>
      <c r="AL86" s="16" t="s">
        <v>659</v>
      </c>
      <c r="AM86" s="16" t="s">
        <v>121</v>
      </c>
      <c r="AN86" s="16" t="s">
        <v>122</v>
      </c>
      <c r="AO86" s="16" t="s">
        <v>842</v>
      </c>
    </row>
    <row r="87" customFormat="false" ht="15" hidden="false" customHeight="false" outlineLevel="0" collapsed="false">
      <c r="AF87" s="16" t="s">
        <v>939</v>
      </c>
      <c r="AG87" s="16" t="n">
        <v>2</v>
      </c>
      <c r="AH87" s="16" t="s">
        <v>657</v>
      </c>
      <c r="AI87" s="16" t="s">
        <v>612</v>
      </c>
      <c r="AJ87" s="16" t="s">
        <v>719</v>
      </c>
      <c r="AK87" s="16" t="s">
        <v>658</v>
      </c>
      <c r="AL87" s="16" t="s">
        <v>931</v>
      </c>
      <c r="AM87" s="16" t="s">
        <v>122</v>
      </c>
      <c r="AN87" s="16" t="s">
        <v>122</v>
      </c>
      <c r="AO87" s="16" t="s">
        <v>940</v>
      </c>
    </row>
    <row r="88" customFormat="false" ht="15" hidden="false" customHeight="false" outlineLevel="0" collapsed="false">
      <c r="AF88" s="16" t="s">
        <v>941</v>
      </c>
      <c r="AG88" s="16" t="n">
        <v>2</v>
      </c>
      <c r="AH88" s="16" t="s">
        <v>657</v>
      </c>
      <c r="AI88" s="16" t="s">
        <v>612</v>
      </c>
      <c r="AJ88" s="16" t="s">
        <v>613</v>
      </c>
      <c r="AK88" s="16" t="s">
        <v>730</v>
      </c>
      <c r="AL88" s="16" t="s">
        <v>871</v>
      </c>
      <c r="AM88" s="16" t="s">
        <v>121</v>
      </c>
      <c r="AN88" s="16" t="s">
        <v>122</v>
      </c>
      <c r="AO88" s="16" t="s">
        <v>639</v>
      </c>
    </row>
    <row r="89" customFormat="false" ht="15" hidden="false" customHeight="false" outlineLevel="0" collapsed="false">
      <c r="AF89" s="16" t="s">
        <v>942</v>
      </c>
      <c r="AG89" s="16" t="n">
        <v>2</v>
      </c>
      <c r="AH89" s="16" t="s">
        <v>679</v>
      </c>
      <c r="AI89" s="16" t="s">
        <v>612</v>
      </c>
      <c r="AJ89" s="16" t="s">
        <v>719</v>
      </c>
      <c r="AK89" s="16" t="s">
        <v>658</v>
      </c>
      <c r="AL89" s="16" t="s">
        <v>832</v>
      </c>
      <c r="AM89" s="16" t="s">
        <v>122</v>
      </c>
      <c r="AN89" s="16" t="s">
        <v>122</v>
      </c>
      <c r="AO89" s="16" t="s">
        <v>891</v>
      </c>
    </row>
    <row r="90" customFormat="false" ht="15" hidden="false" customHeight="false" outlineLevel="0" collapsed="false">
      <c r="AF90" s="16" t="s">
        <v>943</v>
      </c>
      <c r="AG90" s="16" t="n">
        <v>2</v>
      </c>
      <c r="AH90" s="16" t="s">
        <v>718</v>
      </c>
      <c r="AI90" s="16" t="s">
        <v>612</v>
      </c>
      <c r="AJ90" s="16" t="s">
        <v>795</v>
      </c>
      <c r="AK90" s="16" t="s">
        <v>658</v>
      </c>
      <c r="AL90" s="16" t="s">
        <v>659</v>
      </c>
      <c r="AM90" s="16" t="s">
        <v>121</v>
      </c>
      <c r="AN90" s="16" t="s">
        <v>122</v>
      </c>
      <c r="AO90" s="16" t="s">
        <v>660</v>
      </c>
    </row>
    <row r="91" customFormat="false" ht="15" hidden="false" customHeight="false" outlineLevel="0" collapsed="false">
      <c r="AF91" s="16" t="s">
        <v>944</v>
      </c>
      <c r="AG91" s="16" t="n">
        <v>2</v>
      </c>
      <c r="AH91" s="16" t="s">
        <v>679</v>
      </c>
      <c r="AI91" s="16" t="s">
        <v>612</v>
      </c>
      <c r="AJ91" s="16" t="s">
        <v>719</v>
      </c>
      <c r="AK91" s="16" t="s">
        <v>658</v>
      </c>
      <c r="AL91" s="16" t="s">
        <v>890</v>
      </c>
      <c r="AM91" s="16" t="s">
        <v>121</v>
      </c>
      <c r="AN91" s="16" t="s">
        <v>122</v>
      </c>
      <c r="AO91" s="16" t="s">
        <v>945</v>
      </c>
    </row>
    <row r="92" customFormat="false" ht="15" hidden="false" customHeight="false" outlineLevel="0" collapsed="false">
      <c r="AF92" s="16" t="s">
        <v>946</v>
      </c>
      <c r="AG92" s="16" t="n">
        <v>2</v>
      </c>
      <c r="AH92" s="16" t="s">
        <v>679</v>
      </c>
      <c r="AI92" s="16" t="s">
        <v>612</v>
      </c>
      <c r="AJ92" s="16" t="s">
        <v>680</v>
      </c>
      <c r="AK92" s="16" t="s">
        <v>658</v>
      </c>
      <c r="AL92" s="16" t="s">
        <v>659</v>
      </c>
      <c r="AM92" s="16" t="s">
        <v>121</v>
      </c>
      <c r="AN92" s="16" t="s">
        <v>122</v>
      </c>
      <c r="AO92" s="16" t="s">
        <v>616</v>
      </c>
    </row>
    <row r="93" customFormat="false" ht="15" hidden="false" customHeight="false" outlineLevel="0" collapsed="false">
      <c r="AF93" s="16" t="s">
        <v>947</v>
      </c>
      <c r="AG93" s="16" t="n">
        <v>2</v>
      </c>
      <c r="AH93" s="16" t="s">
        <v>829</v>
      </c>
      <c r="AI93" s="16" t="s">
        <v>612</v>
      </c>
      <c r="AJ93" s="16" t="s">
        <v>613</v>
      </c>
      <c r="AK93" s="16" t="s">
        <v>614</v>
      </c>
      <c r="AL93" s="16" t="s">
        <v>743</v>
      </c>
      <c r="AM93" s="16" t="s">
        <v>122</v>
      </c>
      <c r="AN93" s="16" t="s">
        <v>122</v>
      </c>
      <c r="AO93" s="16" t="s">
        <v>948</v>
      </c>
    </row>
    <row r="94" customFormat="false" ht="15" hidden="false" customHeight="false" outlineLevel="0" collapsed="false">
      <c r="AF94" s="16" t="s">
        <v>949</v>
      </c>
      <c r="AG94" s="16" t="n">
        <v>2</v>
      </c>
      <c r="AH94" s="16" t="s">
        <v>611</v>
      </c>
      <c r="AI94" s="16" t="s">
        <v>796</v>
      </c>
      <c r="AJ94" s="16" t="s">
        <v>680</v>
      </c>
      <c r="AK94" s="16" t="s">
        <v>614</v>
      </c>
      <c r="AL94" s="16" t="s">
        <v>615</v>
      </c>
      <c r="AM94" s="16" t="s">
        <v>122</v>
      </c>
      <c r="AN94" s="16" t="s">
        <v>122</v>
      </c>
      <c r="AO94" s="16" t="s">
        <v>712</v>
      </c>
    </row>
    <row r="95" customFormat="false" ht="15" hidden="false" customHeight="false" outlineLevel="0" collapsed="false">
      <c r="AF95" s="16" t="s">
        <v>950</v>
      </c>
      <c r="AG95" s="16" t="n">
        <v>2</v>
      </c>
      <c r="AH95" s="16" t="s">
        <v>718</v>
      </c>
      <c r="AI95" s="16" t="s">
        <v>612</v>
      </c>
      <c r="AJ95" s="16" t="s">
        <v>637</v>
      </c>
      <c r="AK95" s="16" t="s">
        <v>614</v>
      </c>
      <c r="AL95" s="16" t="s">
        <v>615</v>
      </c>
      <c r="AM95" s="16" t="s">
        <v>122</v>
      </c>
      <c r="AN95" s="16" t="s">
        <v>122</v>
      </c>
      <c r="AO95" s="16" t="s">
        <v>951</v>
      </c>
    </row>
    <row r="96" customFormat="false" ht="15" hidden="false" customHeight="false" outlineLevel="0" collapsed="false">
      <c r="AF96" s="16" t="s">
        <v>952</v>
      </c>
      <c r="AG96" s="16" t="n">
        <v>2</v>
      </c>
      <c r="AH96" s="16" t="s">
        <v>657</v>
      </c>
      <c r="AI96" s="16" t="s">
        <v>814</v>
      </c>
      <c r="AJ96" s="16" t="s">
        <v>795</v>
      </c>
      <c r="AK96" s="16" t="s">
        <v>658</v>
      </c>
      <c r="AL96" s="16" t="s">
        <v>871</v>
      </c>
      <c r="AM96" s="16" t="s">
        <v>121</v>
      </c>
      <c r="AN96" s="16" t="s">
        <v>122</v>
      </c>
      <c r="AO96" s="16" t="s">
        <v>668</v>
      </c>
    </row>
    <row r="97" customFormat="false" ht="15" hidden="false" customHeight="false" outlineLevel="0" collapsed="false">
      <c r="AF97" s="16" t="s">
        <v>953</v>
      </c>
      <c r="AG97" s="16" t="n">
        <v>2</v>
      </c>
      <c r="AH97" s="16" t="s">
        <v>611</v>
      </c>
      <c r="AI97" s="16" t="s">
        <v>612</v>
      </c>
      <c r="AJ97" s="16" t="s">
        <v>613</v>
      </c>
      <c r="AK97" s="16" t="s">
        <v>658</v>
      </c>
      <c r="AL97" s="16" t="s">
        <v>659</v>
      </c>
      <c r="AM97" s="16" t="s">
        <v>121</v>
      </c>
      <c r="AN97" s="16" t="s">
        <v>122</v>
      </c>
      <c r="AO97" s="16" t="s">
        <v>954</v>
      </c>
    </row>
    <row r="98" customFormat="false" ht="15" hidden="false" customHeight="false" outlineLevel="0" collapsed="false">
      <c r="AF98" s="16" t="s">
        <v>955</v>
      </c>
      <c r="AG98" s="16" t="n">
        <v>2</v>
      </c>
      <c r="AH98" s="16" t="s">
        <v>636</v>
      </c>
      <c r="AI98" s="16" t="s">
        <v>612</v>
      </c>
      <c r="AJ98" s="16" t="s">
        <v>719</v>
      </c>
      <c r="AK98" s="16" t="s">
        <v>658</v>
      </c>
      <c r="AL98" s="16" t="s">
        <v>906</v>
      </c>
      <c r="AM98" s="16" t="s">
        <v>122</v>
      </c>
      <c r="AN98" s="16" t="s">
        <v>121</v>
      </c>
      <c r="AO98" s="16" t="s">
        <v>940</v>
      </c>
    </row>
    <row r="99" customFormat="false" ht="15" hidden="false" customHeight="false" outlineLevel="0" collapsed="false">
      <c r="AF99" s="16" t="s">
        <v>956</v>
      </c>
      <c r="AG99" s="16" t="n">
        <v>2</v>
      </c>
      <c r="AH99" s="16" t="s">
        <v>657</v>
      </c>
      <c r="AI99" s="16" t="s">
        <v>612</v>
      </c>
      <c r="AJ99" s="16" t="s">
        <v>795</v>
      </c>
      <c r="AK99" s="16" t="s">
        <v>658</v>
      </c>
      <c r="AL99" s="16" t="s">
        <v>659</v>
      </c>
      <c r="AM99" s="16" t="s">
        <v>121</v>
      </c>
      <c r="AN99" s="16" t="s">
        <v>122</v>
      </c>
      <c r="AO99" s="16" t="s">
        <v>957</v>
      </c>
    </row>
    <row r="100" customFormat="false" ht="15" hidden="false" customHeight="false" outlineLevel="0" collapsed="false">
      <c r="AF100" s="16" t="s">
        <v>958</v>
      </c>
      <c r="AG100" s="16" t="n">
        <v>2</v>
      </c>
      <c r="AH100" s="16" t="s">
        <v>679</v>
      </c>
      <c r="AI100" s="16" t="s">
        <v>612</v>
      </c>
      <c r="AJ100" s="16" t="s">
        <v>613</v>
      </c>
      <c r="AK100" s="16" t="s">
        <v>658</v>
      </c>
      <c r="AL100" s="16" t="s">
        <v>659</v>
      </c>
      <c r="AM100" s="16" t="s">
        <v>121</v>
      </c>
      <c r="AN100" s="16" t="s">
        <v>122</v>
      </c>
      <c r="AO100" s="16" t="s">
        <v>959</v>
      </c>
    </row>
    <row r="101" customFormat="false" ht="15" hidden="false" customHeight="false" outlineLevel="0" collapsed="false">
      <c r="AF101" s="16" t="s">
        <v>960</v>
      </c>
      <c r="AG101" s="16" t="n">
        <v>2</v>
      </c>
      <c r="AH101" s="16" t="s">
        <v>829</v>
      </c>
      <c r="AI101" s="16" t="s">
        <v>612</v>
      </c>
      <c r="AJ101" s="16" t="s">
        <v>613</v>
      </c>
      <c r="AK101" s="16" t="s">
        <v>658</v>
      </c>
      <c r="AL101" s="16" t="s">
        <v>659</v>
      </c>
      <c r="AM101" s="16" t="s">
        <v>121</v>
      </c>
      <c r="AN101" s="16" t="s">
        <v>122</v>
      </c>
      <c r="AO101" s="16" t="s">
        <v>961</v>
      </c>
    </row>
    <row r="102" customFormat="false" ht="15" hidden="false" customHeight="false" outlineLevel="0" collapsed="false">
      <c r="AF102" s="16" t="s">
        <v>962</v>
      </c>
      <c r="AG102" s="16" t="n">
        <v>2</v>
      </c>
      <c r="AH102" s="16" t="s">
        <v>774</v>
      </c>
      <c r="AI102" s="16" t="s">
        <v>612</v>
      </c>
      <c r="AJ102" s="16" t="s">
        <v>719</v>
      </c>
      <c r="AK102" s="16" t="s">
        <v>658</v>
      </c>
      <c r="AL102" s="16" t="s">
        <v>890</v>
      </c>
      <c r="AM102" s="16" t="s">
        <v>121</v>
      </c>
      <c r="AN102" s="16" t="s">
        <v>122</v>
      </c>
      <c r="AO102" s="16" t="s">
        <v>744</v>
      </c>
    </row>
    <row r="103" customFormat="false" ht="15" hidden="false" customHeight="false" outlineLevel="0" collapsed="false">
      <c r="AF103" s="16" t="s">
        <v>963</v>
      </c>
      <c r="AG103" s="16" t="n">
        <v>2</v>
      </c>
      <c r="AH103" s="16" t="s">
        <v>679</v>
      </c>
      <c r="AI103" s="16" t="s">
        <v>612</v>
      </c>
      <c r="AJ103" s="16" t="s">
        <v>613</v>
      </c>
      <c r="AK103" s="16" t="s">
        <v>822</v>
      </c>
      <c r="AL103" s="16" t="s">
        <v>615</v>
      </c>
      <c r="AM103" s="16" t="s">
        <v>122</v>
      </c>
      <c r="AN103" s="16" t="s">
        <v>122</v>
      </c>
      <c r="AO103" s="16" t="s">
        <v>660</v>
      </c>
    </row>
    <row r="104" customFormat="false" ht="15" hidden="false" customHeight="false" outlineLevel="0" collapsed="false">
      <c r="AF104" s="16" t="s">
        <v>964</v>
      </c>
      <c r="AG104" s="16" t="n">
        <v>2</v>
      </c>
      <c r="AH104" s="16" t="s">
        <v>806</v>
      </c>
      <c r="AI104" s="16" t="s">
        <v>612</v>
      </c>
      <c r="AJ104" s="16" t="s">
        <v>719</v>
      </c>
      <c r="AK104" s="16" t="s">
        <v>614</v>
      </c>
      <c r="AL104" s="16" t="s">
        <v>615</v>
      </c>
      <c r="AM104" s="16" t="s">
        <v>122</v>
      </c>
      <c r="AN104" s="16" t="s">
        <v>122</v>
      </c>
      <c r="AO104" s="16" t="s">
        <v>867</v>
      </c>
    </row>
    <row r="105" customFormat="false" ht="15" hidden="false" customHeight="false" outlineLevel="0" collapsed="false">
      <c r="AF105" s="16" t="s">
        <v>965</v>
      </c>
      <c r="AG105" s="16" t="n">
        <v>2</v>
      </c>
      <c r="AH105" s="16" t="s">
        <v>679</v>
      </c>
      <c r="AI105" s="16" t="s">
        <v>612</v>
      </c>
      <c r="AJ105" s="16" t="s">
        <v>613</v>
      </c>
      <c r="AK105" s="16" t="s">
        <v>658</v>
      </c>
      <c r="AL105" s="16" t="s">
        <v>871</v>
      </c>
      <c r="AM105" s="16" t="s">
        <v>121</v>
      </c>
      <c r="AN105" s="16" t="s">
        <v>122</v>
      </c>
      <c r="AO105" s="16" t="s">
        <v>616</v>
      </c>
    </row>
    <row r="106" customFormat="false" ht="15" hidden="false" customHeight="false" outlineLevel="0" collapsed="false">
      <c r="AF106" s="16" t="s">
        <v>966</v>
      </c>
      <c r="AG106" s="16" t="n">
        <v>2</v>
      </c>
      <c r="AH106" s="16" t="s">
        <v>718</v>
      </c>
      <c r="AI106" s="16" t="s">
        <v>612</v>
      </c>
      <c r="AJ106" s="16" t="s">
        <v>795</v>
      </c>
      <c r="AK106" s="16" t="s">
        <v>658</v>
      </c>
      <c r="AL106" s="16" t="s">
        <v>615</v>
      </c>
      <c r="AM106" s="16" t="s">
        <v>122</v>
      </c>
      <c r="AN106" s="16" t="s">
        <v>121</v>
      </c>
      <c r="AO106" s="16" t="s">
        <v>838</v>
      </c>
    </row>
    <row r="107" customFormat="false" ht="15" hidden="false" customHeight="false" outlineLevel="0" collapsed="false">
      <c r="AF107" s="16" t="s">
        <v>967</v>
      </c>
      <c r="AG107" s="16" t="n">
        <v>2</v>
      </c>
      <c r="AH107" s="16" t="s">
        <v>718</v>
      </c>
      <c r="AI107" s="16" t="s">
        <v>612</v>
      </c>
      <c r="AJ107" s="16" t="s">
        <v>795</v>
      </c>
      <c r="AK107" s="16" t="s">
        <v>658</v>
      </c>
      <c r="AL107" s="16" t="s">
        <v>871</v>
      </c>
      <c r="AM107" s="16" t="s">
        <v>121</v>
      </c>
      <c r="AN107" s="16" t="s">
        <v>122</v>
      </c>
      <c r="AO107" s="16" t="s">
        <v>968</v>
      </c>
    </row>
    <row r="108" customFormat="false" ht="15" hidden="false" customHeight="false" outlineLevel="0" collapsed="false">
      <c r="AF108" s="16" t="s">
        <v>969</v>
      </c>
      <c r="AG108" s="16" t="n">
        <v>2</v>
      </c>
      <c r="AH108" s="16" t="s">
        <v>774</v>
      </c>
      <c r="AI108" s="16" t="s">
        <v>743</v>
      </c>
      <c r="AJ108" s="16" t="s">
        <v>680</v>
      </c>
      <c r="AK108" s="16" t="s">
        <v>658</v>
      </c>
      <c r="AL108" s="16" t="s">
        <v>931</v>
      </c>
      <c r="AM108" s="16" t="s">
        <v>122</v>
      </c>
      <c r="AN108" s="16" t="s">
        <v>121</v>
      </c>
      <c r="AO108" s="16" t="s">
        <v>902</v>
      </c>
    </row>
    <row r="109" customFormat="false" ht="15" hidden="false" customHeight="false" outlineLevel="0" collapsed="false">
      <c r="AF109" s="16" t="s">
        <v>970</v>
      </c>
      <c r="AG109" s="16" t="n">
        <v>2</v>
      </c>
      <c r="AH109" s="16" t="s">
        <v>679</v>
      </c>
      <c r="AI109" s="16" t="s">
        <v>814</v>
      </c>
      <c r="AJ109" s="16" t="s">
        <v>719</v>
      </c>
      <c r="AK109" s="16" t="s">
        <v>614</v>
      </c>
      <c r="AL109" s="16" t="s">
        <v>890</v>
      </c>
      <c r="AM109" s="16" t="s">
        <v>121</v>
      </c>
      <c r="AN109" s="16" t="s">
        <v>122</v>
      </c>
      <c r="AO109" s="16" t="s">
        <v>971</v>
      </c>
    </row>
    <row r="110" customFormat="false" ht="15" hidden="false" customHeight="false" outlineLevel="0" collapsed="false">
      <c r="AF110" s="16" t="s">
        <v>972</v>
      </c>
      <c r="AG110" s="16" t="n">
        <v>2</v>
      </c>
      <c r="AH110" s="16" t="s">
        <v>774</v>
      </c>
      <c r="AI110" s="16" t="s">
        <v>612</v>
      </c>
      <c r="AJ110" s="16" t="s">
        <v>795</v>
      </c>
      <c r="AK110" s="16" t="s">
        <v>614</v>
      </c>
      <c r="AL110" s="16" t="s">
        <v>743</v>
      </c>
      <c r="AM110" s="16" t="s">
        <v>122</v>
      </c>
      <c r="AN110" s="16" t="s">
        <v>122</v>
      </c>
      <c r="AO110" s="16" t="s">
        <v>639</v>
      </c>
    </row>
    <row r="111" customFormat="false" ht="15" hidden="false" customHeight="false" outlineLevel="0" collapsed="false">
      <c r="AF111" s="16" t="s">
        <v>973</v>
      </c>
      <c r="AG111" s="16" t="n">
        <v>2</v>
      </c>
      <c r="AH111" s="16" t="s">
        <v>611</v>
      </c>
      <c r="AI111" s="16" t="s">
        <v>814</v>
      </c>
      <c r="AJ111" s="16" t="s">
        <v>795</v>
      </c>
      <c r="AK111" s="16" t="s">
        <v>822</v>
      </c>
      <c r="AL111" s="16" t="s">
        <v>615</v>
      </c>
      <c r="AM111" s="16" t="s">
        <v>122</v>
      </c>
      <c r="AN111" s="16" t="s">
        <v>122</v>
      </c>
      <c r="AO111" s="16" t="s">
        <v>639</v>
      </c>
    </row>
    <row r="112" customFormat="false" ht="15" hidden="false" customHeight="false" outlineLevel="0" collapsed="false">
      <c r="AF112" s="16" t="s">
        <v>974</v>
      </c>
      <c r="AG112" s="16" t="n">
        <v>2</v>
      </c>
      <c r="AH112" s="16" t="s">
        <v>657</v>
      </c>
      <c r="AI112" s="16" t="s">
        <v>612</v>
      </c>
      <c r="AJ112" s="16" t="s">
        <v>637</v>
      </c>
      <c r="AK112" s="16" t="s">
        <v>658</v>
      </c>
      <c r="AL112" s="16" t="s">
        <v>659</v>
      </c>
      <c r="AM112" s="16" t="s">
        <v>121</v>
      </c>
      <c r="AN112" s="16" t="s">
        <v>122</v>
      </c>
      <c r="AO112" s="16" t="s">
        <v>668</v>
      </c>
    </row>
    <row r="113" customFormat="false" ht="15" hidden="false" customHeight="false" outlineLevel="0" collapsed="false">
      <c r="AF113" s="16" t="s">
        <v>975</v>
      </c>
      <c r="AG113" s="16" t="n">
        <v>2</v>
      </c>
      <c r="AH113" s="16" t="s">
        <v>806</v>
      </c>
      <c r="AI113" s="16" t="s">
        <v>612</v>
      </c>
      <c r="AJ113" s="16" t="s">
        <v>795</v>
      </c>
      <c r="AK113" s="16" t="s">
        <v>658</v>
      </c>
      <c r="AL113" s="16" t="s">
        <v>890</v>
      </c>
      <c r="AM113" s="16" t="s">
        <v>121</v>
      </c>
      <c r="AN113" s="16" t="s">
        <v>122</v>
      </c>
      <c r="AO113" s="16" t="s">
        <v>893</v>
      </c>
    </row>
    <row r="114" customFormat="false" ht="15" hidden="false" customHeight="false" outlineLevel="0" collapsed="false">
      <c r="AF114" s="16" t="s">
        <v>976</v>
      </c>
      <c r="AG114" s="16" t="n">
        <v>2</v>
      </c>
      <c r="AH114" s="16" t="s">
        <v>657</v>
      </c>
      <c r="AI114" s="16" t="s">
        <v>796</v>
      </c>
      <c r="AJ114" s="16" t="s">
        <v>680</v>
      </c>
      <c r="AK114" s="16" t="s">
        <v>822</v>
      </c>
      <c r="AL114" s="16" t="s">
        <v>615</v>
      </c>
      <c r="AM114" s="16" t="s">
        <v>122</v>
      </c>
      <c r="AN114" s="16" t="s">
        <v>122</v>
      </c>
      <c r="AO114" s="16" t="s">
        <v>648</v>
      </c>
    </row>
    <row r="115" customFormat="false" ht="15" hidden="false" customHeight="false" outlineLevel="0" collapsed="false">
      <c r="AF115" s="16" t="s">
        <v>977</v>
      </c>
      <c r="AG115" s="16" t="n">
        <v>2</v>
      </c>
      <c r="AH115" s="16" t="s">
        <v>806</v>
      </c>
      <c r="AI115" s="16" t="s">
        <v>612</v>
      </c>
      <c r="AJ115" s="16" t="s">
        <v>719</v>
      </c>
      <c r="AK115" s="16" t="s">
        <v>614</v>
      </c>
      <c r="AL115" s="16" t="s">
        <v>731</v>
      </c>
      <c r="AM115" s="16" t="s">
        <v>122</v>
      </c>
      <c r="AN115" s="16" t="s">
        <v>122</v>
      </c>
      <c r="AO115" s="16" t="s">
        <v>877</v>
      </c>
    </row>
    <row r="116" customFormat="false" ht="15" hidden="false" customHeight="false" outlineLevel="0" collapsed="false">
      <c r="AF116" s="16" t="s">
        <v>978</v>
      </c>
      <c r="AG116" s="16" t="n">
        <v>2</v>
      </c>
      <c r="AH116" s="16" t="s">
        <v>636</v>
      </c>
      <c r="AI116" s="16" t="s">
        <v>612</v>
      </c>
      <c r="AJ116" s="16" t="s">
        <v>613</v>
      </c>
      <c r="AK116" s="16" t="s">
        <v>614</v>
      </c>
      <c r="AL116" s="16" t="s">
        <v>659</v>
      </c>
      <c r="AM116" s="16" t="s">
        <v>121</v>
      </c>
      <c r="AN116" s="16" t="s">
        <v>122</v>
      </c>
      <c r="AO116" s="16" t="s">
        <v>979</v>
      </c>
    </row>
    <row r="117" customFormat="false" ht="15" hidden="false" customHeight="false" outlineLevel="0" collapsed="false">
      <c r="AF117" s="16" t="s">
        <v>980</v>
      </c>
      <c r="AG117" s="16" t="n">
        <v>2</v>
      </c>
      <c r="AH117" s="16" t="s">
        <v>679</v>
      </c>
      <c r="AI117" s="16" t="s">
        <v>612</v>
      </c>
      <c r="AJ117" s="16" t="s">
        <v>719</v>
      </c>
      <c r="AK117" s="16" t="s">
        <v>658</v>
      </c>
      <c r="AL117" s="16" t="s">
        <v>731</v>
      </c>
      <c r="AM117" s="16" t="s">
        <v>122</v>
      </c>
      <c r="AN117" s="16" t="s">
        <v>122</v>
      </c>
      <c r="AO117" s="16" t="s">
        <v>768</v>
      </c>
    </row>
    <row r="118" customFormat="false" ht="15" hidden="false" customHeight="false" outlineLevel="0" collapsed="false">
      <c r="AF118" s="16" t="s">
        <v>981</v>
      </c>
      <c r="AG118" s="16" t="n">
        <v>2</v>
      </c>
      <c r="AH118" s="16" t="s">
        <v>657</v>
      </c>
      <c r="AI118" s="16" t="s">
        <v>612</v>
      </c>
      <c r="AJ118" s="16" t="s">
        <v>637</v>
      </c>
      <c r="AK118" s="16" t="s">
        <v>614</v>
      </c>
      <c r="AL118" s="16" t="s">
        <v>615</v>
      </c>
      <c r="AM118" s="16" t="s">
        <v>122</v>
      </c>
      <c r="AN118" s="16" t="s">
        <v>122</v>
      </c>
      <c r="AO118" s="16" t="s">
        <v>616</v>
      </c>
    </row>
    <row r="119" customFormat="false" ht="15" hidden="false" customHeight="false" outlineLevel="0" collapsed="false">
      <c r="AF119" s="16" t="s">
        <v>982</v>
      </c>
      <c r="AG119" s="16" t="n">
        <v>2</v>
      </c>
      <c r="AH119" s="16" t="s">
        <v>718</v>
      </c>
      <c r="AI119" s="16" t="s">
        <v>612</v>
      </c>
      <c r="AJ119" s="16" t="s">
        <v>795</v>
      </c>
      <c r="AK119" s="16" t="s">
        <v>658</v>
      </c>
      <c r="AL119" s="16" t="s">
        <v>731</v>
      </c>
      <c r="AM119" s="16" t="s">
        <v>122</v>
      </c>
      <c r="AN119" s="16" t="s">
        <v>122</v>
      </c>
      <c r="AO119" s="16" t="s">
        <v>660</v>
      </c>
    </row>
    <row r="120" customFormat="false" ht="15" hidden="false" customHeight="false" outlineLevel="0" collapsed="false">
      <c r="AF120" s="16" t="s">
        <v>983</v>
      </c>
      <c r="AG120" s="16" t="n">
        <v>2</v>
      </c>
      <c r="AH120" s="16" t="s">
        <v>657</v>
      </c>
      <c r="AI120" s="16" t="s">
        <v>612</v>
      </c>
      <c r="AJ120" s="16" t="s">
        <v>613</v>
      </c>
      <c r="AK120" s="16" t="s">
        <v>658</v>
      </c>
      <c r="AL120" s="16" t="s">
        <v>615</v>
      </c>
      <c r="AM120" s="16" t="s">
        <v>122</v>
      </c>
      <c r="AN120" s="16" t="s">
        <v>122</v>
      </c>
      <c r="AO120" s="16" t="s">
        <v>744</v>
      </c>
    </row>
    <row r="121" customFormat="false" ht="15" hidden="false" customHeight="false" outlineLevel="0" collapsed="false">
      <c r="AF121" s="16" t="s">
        <v>984</v>
      </c>
      <c r="AG121" s="16" t="n">
        <v>2</v>
      </c>
      <c r="AH121" s="16" t="s">
        <v>774</v>
      </c>
      <c r="AI121" s="16" t="s">
        <v>612</v>
      </c>
      <c r="AJ121" s="16" t="s">
        <v>637</v>
      </c>
      <c r="AK121" s="16" t="s">
        <v>614</v>
      </c>
      <c r="AL121" s="16" t="s">
        <v>871</v>
      </c>
      <c r="AM121" s="16" t="s">
        <v>121</v>
      </c>
      <c r="AN121" s="16" t="s">
        <v>121</v>
      </c>
      <c r="AO121" s="16" t="s">
        <v>985</v>
      </c>
    </row>
    <row r="122" customFormat="false" ht="15" hidden="false" customHeight="false" outlineLevel="0" collapsed="false">
      <c r="AF122" s="16" t="s">
        <v>986</v>
      </c>
      <c r="AG122" s="16" t="n">
        <v>2</v>
      </c>
      <c r="AH122" s="16" t="s">
        <v>679</v>
      </c>
      <c r="AI122" s="16" t="s">
        <v>612</v>
      </c>
      <c r="AJ122" s="16" t="s">
        <v>719</v>
      </c>
      <c r="AK122" s="16" t="s">
        <v>658</v>
      </c>
      <c r="AL122" s="16" t="s">
        <v>890</v>
      </c>
      <c r="AM122" s="16" t="s">
        <v>121</v>
      </c>
      <c r="AN122" s="16" t="s">
        <v>122</v>
      </c>
      <c r="AO122" s="16" t="s">
        <v>639</v>
      </c>
    </row>
    <row r="123" customFormat="false" ht="15" hidden="false" customHeight="false" outlineLevel="0" collapsed="false">
      <c r="AF123" s="16" t="s">
        <v>987</v>
      </c>
      <c r="AG123" s="16" t="n">
        <v>2</v>
      </c>
      <c r="AH123" s="16" t="s">
        <v>679</v>
      </c>
      <c r="AI123" s="16" t="s">
        <v>612</v>
      </c>
      <c r="AJ123" s="16" t="s">
        <v>988</v>
      </c>
      <c r="AK123" s="16" t="s">
        <v>658</v>
      </c>
      <c r="AL123" s="16" t="s">
        <v>871</v>
      </c>
      <c r="AM123" s="16" t="s">
        <v>121</v>
      </c>
      <c r="AN123" s="16" t="s">
        <v>122</v>
      </c>
      <c r="AO123" s="16" t="s">
        <v>893</v>
      </c>
    </row>
    <row r="124" customFormat="false" ht="15" hidden="false" customHeight="false" outlineLevel="0" collapsed="false">
      <c r="AF124" s="16" t="s">
        <v>989</v>
      </c>
      <c r="AG124" s="16" t="n">
        <v>2</v>
      </c>
      <c r="AH124" s="16" t="s">
        <v>657</v>
      </c>
      <c r="AI124" s="16" t="s">
        <v>814</v>
      </c>
      <c r="AJ124" s="16" t="s">
        <v>613</v>
      </c>
      <c r="AK124" s="16" t="s">
        <v>614</v>
      </c>
      <c r="AL124" s="16" t="s">
        <v>743</v>
      </c>
      <c r="AM124" s="16" t="s">
        <v>122</v>
      </c>
      <c r="AN124" s="16" t="s">
        <v>122</v>
      </c>
      <c r="AO124" s="16" t="s">
        <v>648</v>
      </c>
    </row>
    <row r="125" customFormat="false" ht="15" hidden="false" customHeight="false" outlineLevel="0" collapsed="false">
      <c r="AF125" s="16" t="s">
        <v>990</v>
      </c>
      <c r="AG125" s="16" t="n">
        <v>2</v>
      </c>
      <c r="AH125" s="16" t="s">
        <v>829</v>
      </c>
      <c r="AI125" s="16" t="s">
        <v>612</v>
      </c>
      <c r="AJ125" s="16" t="s">
        <v>680</v>
      </c>
      <c r="AK125" s="16" t="s">
        <v>730</v>
      </c>
      <c r="AL125" s="16" t="s">
        <v>991</v>
      </c>
      <c r="AM125" s="16" t="s">
        <v>121</v>
      </c>
      <c r="AN125" s="16" t="s">
        <v>122</v>
      </c>
      <c r="AO125" s="16" t="s">
        <v>744</v>
      </c>
    </row>
    <row r="126" customFormat="false" ht="15" hidden="false" customHeight="false" outlineLevel="0" collapsed="false">
      <c r="AF126" s="16" t="s">
        <v>992</v>
      </c>
      <c r="AG126" s="16" t="n">
        <v>2</v>
      </c>
      <c r="AH126" s="16" t="s">
        <v>806</v>
      </c>
      <c r="AI126" s="16" t="s">
        <v>612</v>
      </c>
      <c r="AJ126" s="16" t="s">
        <v>719</v>
      </c>
      <c r="AK126" s="16" t="s">
        <v>658</v>
      </c>
      <c r="AL126" s="16" t="s">
        <v>731</v>
      </c>
      <c r="AM126" s="16" t="s">
        <v>122</v>
      </c>
      <c r="AN126" s="16" t="s">
        <v>122</v>
      </c>
      <c r="AO126" s="16" t="s">
        <v>648</v>
      </c>
    </row>
    <row r="127" customFormat="false" ht="15" hidden="false" customHeight="false" outlineLevel="0" collapsed="false">
      <c r="AF127" s="16" t="s">
        <v>993</v>
      </c>
      <c r="AG127" s="16" t="n">
        <v>2</v>
      </c>
      <c r="AH127" s="16" t="s">
        <v>611</v>
      </c>
      <c r="AI127" s="16" t="s">
        <v>612</v>
      </c>
      <c r="AJ127" s="16" t="s">
        <v>613</v>
      </c>
      <c r="AK127" s="16" t="s">
        <v>658</v>
      </c>
      <c r="AL127" s="16" t="s">
        <v>890</v>
      </c>
      <c r="AM127" s="16" t="s">
        <v>121</v>
      </c>
      <c r="AN127" s="16" t="s">
        <v>122</v>
      </c>
      <c r="AO127" s="16" t="s">
        <v>616</v>
      </c>
    </row>
    <row r="128" customFormat="false" ht="15" hidden="false" customHeight="false" outlineLevel="0" collapsed="false">
      <c r="AF128" s="16" t="s">
        <v>994</v>
      </c>
      <c r="AG128" s="16" t="n">
        <v>2</v>
      </c>
      <c r="AH128" s="16" t="s">
        <v>829</v>
      </c>
      <c r="AI128" s="16" t="s">
        <v>612</v>
      </c>
      <c r="AJ128" s="16" t="s">
        <v>613</v>
      </c>
      <c r="AK128" s="16" t="s">
        <v>614</v>
      </c>
      <c r="AL128" s="16" t="s">
        <v>796</v>
      </c>
      <c r="AM128" s="16" t="s">
        <v>122</v>
      </c>
      <c r="AN128" s="16" t="s">
        <v>122</v>
      </c>
      <c r="AO128" s="16" t="s">
        <v>995</v>
      </c>
    </row>
    <row r="129" customFormat="false" ht="15" hidden="false" customHeight="false" outlineLevel="0" collapsed="false">
      <c r="AF129" s="16" t="s">
        <v>996</v>
      </c>
      <c r="AG129" s="16" t="n">
        <v>3</v>
      </c>
      <c r="AH129" s="16" t="s">
        <v>636</v>
      </c>
      <c r="AI129" s="16" t="s">
        <v>743</v>
      </c>
      <c r="AJ129" s="16" t="s">
        <v>781</v>
      </c>
      <c r="AK129" s="16" t="s">
        <v>658</v>
      </c>
      <c r="AL129" s="16" t="s">
        <v>615</v>
      </c>
      <c r="AM129" s="16" t="s">
        <v>122</v>
      </c>
      <c r="AN129" s="16" t="s">
        <v>122</v>
      </c>
      <c r="AO129" s="16" t="s">
        <v>940</v>
      </c>
    </row>
    <row r="130" customFormat="false" ht="15" hidden="false" customHeight="false" outlineLevel="0" collapsed="false">
      <c r="AF130" s="16" t="s">
        <v>997</v>
      </c>
      <c r="AG130" s="16" t="n">
        <v>3</v>
      </c>
      <c r="AH130" s="16" t="s">
        <v>806</v>
      </c>
      <c r="AI130" s="16" t="s">
        <v>612</v>
      </c>
      <c r="AJ130" s="16" t="s">
        <v>680</v>
      </c>
      <c r="AK130" s="16" t="s">
        <v>614</v>
      </c>
      <c r="AL130" s="16" t="s">
        <v>659</v>
      </c>
      <c r="AM130" s="16" t="s">
        <v>121</v>
      </c>
      <c r="AN130" s="16" t="s">
        <v>122</v>
      </c>
      <c r="AO130" s="16" t="s">
        <v>648</v>
      </c>
    </row>
    <row r="131" customFormat="false" ht="15" hidden="false" customHeight="false" outlineLevel="0" collapsed="false">
      <c r="AF131" s="16" t="s">
        <v>998</v>
      </c>
      <c r="AG131" s="16" t="n">
        <v>3</v>
      </c>
      <c r="AH131" s="16" t="s">
        <v>636</v>
      </c>
      <c r="AI131" s="16" t="s">
        <v>612</v>
      </c>
      <c r="AJ131" s="16" t="s">
        <v>719</v>
      </c>
      <c r="AK131" s="16" t="s">
        <v>614</v>
      </c>
      <c r="AL131" s="16" t="s">
        <v>659</v>
      </c>
      <c r="AM131" s="16" t="s">
        <v>121</v>
      </c>
      <c r="AN131" s="16" t="s">
        <v>122</v>
      </c>
      <c r="AO131" s="16" t="s">
        <v>999</v>
      </c>
    </row>
    <row r="132" customFormat="false" ht="15" hidden="false" customHeight="false" outlineLevel="0" collapsed="false">
      <c r="AF132" s="16" t="s">
        <v>1000</v>
      </c>
      <c r="AG132" s="16" t="n">
        <v>3</v>
      </c>
      <c r="AH132" s="16" t="s">
        <v>679</v>
      </c>
      <c r="AI132" s="16" t="s">
        <v>612</v>
      </c>
      <c r="AJ132" s="16" t="s">
        <v>795</v>
      </c>
      <c r="AK132" s="16" t="s">
        <v>614</v>
      </c>
      <c r="AL132" s="16" t="s">
        <v>743</v>
      </c>
      <c r="AM132" s="16" t="s">
        <v>122</v>
      </c>
      <c r="AN132" s="16" t="s">
        <v>122</v>
      </c>
      <c r="AO132" s="16" t="s">
        <v>616</v>
      </c>
    </row>
    <row r="133" customFormat="false" ht="15" hidden="false" customHeight="false" outlineLevel="0" collapsed="false">
      <c r="AF133" s="16" t="s">
        <v>1001</v>
      </c>
      <c r="AG133" s="16" t="n">
        <v>3</v>
      </c>
      <c r="AH133" s="16" t="s">
        <v>611</v>
      </c>
      <c r="AI133" s="16" t="s">
        <v>612</v>
      </c>
      <c r="AJ133" s="16" t="s">
        <v>637</v>
      </c>
      <c r="AK133" s="16" t="s">
        <v>614</v>
      </c>
      <c r="AL133" s="16" t="s">
        <v>871</v>
      </c>
      <c r="AM133" s="16" t="s">
        <v>121</v>
      </c>
      <c r="AN133" s="16" t="s">
        <v>122</v>
      </c>
      <c r="AO133" s="16" t="s">
        <v>668</v>
      </c>
    </row>
    <row r="134" customFormat="false" ht="15" hidden="false" customHeight="false" outlineLevel="0" collapsed="false">
      <c r="AF134" s="16" t="s">
        <v>1002</v>
      </c>
      <c r="AG134" s="16" t="n">
        <v>3</v>
      </c>
      <c r="AH134" s="16" t="s">
        <v>718</v>
      </c>
      <c r="AI134" s="16" t="s">
        <v>796</v>
      </c>
      <c r="AJ134" s="16" t="s">
        <v>1003</v>
      </c>
      <c r="AK134" s="16" t="s">
        <v>658</v>
      </c>
      <c r="AL134" s="16" t="s">
        <v>871</v>
      </c>
      <c r="AM134" s="16" t="s">
        <v>121</v>
      </c>
      <c r="AN134" s="16" t="s">
        <v>122</v>
      </c>
      <c r="AO134" s="16" t="s">
        <v>732</v>
      </c>
    </row>
    <row r="135" customFormat="false" ht="15" hidden="false" customHeight="false" outlineLevel="0" collapsed="false">
      <c r="AF135" s="16" t="s">
        <v>1004</v>
      </c>
      <c r="AG135" s="16" t="n">
        <v>3</v>
      </c>
      <c r="AH135" s="16" t="s">
        <v>611</v>
      </c>
      <c r="AI135" s="16" t="s">
        <v>612</v>
      </c>
      <c r="AJ135" s="16" t="s">
        <v>613</v>
      </c>
      <c r="AK135" s="16" t="s">
        <v>614</v>
      </c>
      <c r="AL135" s="16" t="s">
        <v>890</v>
      </c>
      <c r="AM135" s="16" t="s">
        <v>121</v>
      </c>
      <c r="AN135" s="16" t="s">
        <v>122</v>
      </c>
      <c r="AO135" s="16" t="s">
        <v>893</v>
      </c>
    </row>
    <row r="136" customFormat="false" ht="15" hidden="false" customHeight="false" outlineLevel="0" collapsed="false">
      <c r="AF136" s="16" t="s">
        <v>1005</v>
      </c>
      <c r="AG136" s="16" t="n">
        <v>3</v>
      </c>
      <c r="AH136" s="16" t="s">
        <v>806</v>
      </c>
      <c r="AI136" s="16" t="s">
        <v>886</v>
      </c>
      <c r="AJ136" s="16" t="s">
        <v>613</v>
      </c>
      <c r="AK136" s="16" t="s">
        <v>825</v>
      </c>
      <c r="AL136" s="16" t="s">
        <v>615</v>
      </c>
      <c r="AM136" s="16" t="s">
        <v>122</v>
      </c>
      <c r="AN136" s="16" t="s">
        <v>122</v>
      </c>
      <c r="AO136" s="16" t="s">
        <v>639</v>
      </c>
    </row>
    <row r="137" customFormat="false" ht="15" hidden="false" customHeight="false" outlineLevel="0" collapsed="false">
      <c r="AF137" s="16" t="s">
        <v>1006</v>
      </c>
      <c r="AG137" s="16" t="n">
        <v>3</v>
      </c>
      <c r="AH137" s="16" t="s">
        <v>611</v>
      </c>
      <c r="AI137" s="16" t="s">
        <v>612</v>
      </c>
      <c r="AJ137" s="16" t="s">
        <v>680</v>
      </c>
      <c r="AK137" s="16" t="s">
        <v>614</v>
      </c>
      <c r="AL137" s="16" t="s">
        <v>615</v>
      </c>
      <c r="AM137" s="16" t="s">
        <v>122</v>
      </c>
      <c r="AN137" s="16" t="s">
        <v>122</v>
      </c>
      <c r="AO137" s="16" t="s">
        <v>917</v>
      </c>
    </row>
    <row r="138" customFormat="false" ht="15" hidden="false" customHeight="false" outlineLevel="0" collapsed="false">
      <c r="AF138" s="16" t="s">
        <v>1007</v>
      </c>
      <c r="AG138" s="16" t="n">
        <v>3</v>
      </c>
      <c r="AH138" s="16" t="s">
        <v>657</v>
      </c>
      <c r="AI138" s="16" t="s">
        <v>612</v>
      </c>
      <c r="AJ138" s="16" t="s">
        <v>613</v>
      </c>
      <c r="AK138" s="16" t="s">
        <v>614</v>
      </c>
      <c r="AL138" s="16" t="s">
        <v>731</v>
      </c>
      <c r="AM138" s="16" t="s">
        <v>122</v>
      </c>
      <c r="AN138" s="16" t="s">
        <v>122</v>
      </c>
      <c r="AO138" s="16" t="s">
        <v>1008</v>
      </c>
    </row>
    <row r="139" customFormat="false" ht="15" hidden="false" customHeight="false" outlineLevel="0" collapsed="false">
      <c r="AF139" s="16" t="s">
        <v>1009</v>
      </c>
      <c r="AG139" s="16" t="n">
        <v>3</v>
      </c>
      <c r="AH139" s="16" t="s">
        <v>806</v>
      </c>
      <c r="AI139" s="16" t="s">
        <v>612</v>
      </c>
      <c r="AJ139" s="16" t="s">
        <v>637</v>
      </c>
      <c r="AK139" s="16" t="s">
        <v>614</v>
      </c>
      <c r="AL139" s="16" t="s">
        <v>615</v>
      </c>
      <c r="AM139" s="16" t="s">
        <v>122</v>
      </c>
      <c r="AN139" s="16" t="s">
        <v>122</v>
      </c>
      <c r="AO139" s="16" t="s">
        <v>1010</v>
      </c>
    </row>
    <row r="140" customFormat="false" ht="15" hidden="false" customHeight="false" outlineLevel="0" collapsed="false">
      <c r="AF140" s="16" t="s">
        <v>1011</v>
      </c>
      <c r="AG140" s="16" t="n">
        <v>3</v>
      </c>
      <c r="AH140" s="16" t="s">
        <v>774</v>
      </c>
      <c r="AI140" s="16" t="s">
        <v>612</v>
      </c>
      <c r="AJ140" s="16" t="s">
        <v>795</v>
      </c>
      <c r="AK140" s="16" t="s">
        <v>658</v>
      </c>
      <c r="AL140" s="16" t="s">
        <v>659</v>
      </c>
      <c r="AM140" s="16" t="s">
        <v>121</v>
      </c>
      <c r="AN140" s="16" t="s">
        <v>122</v>
      </c>
      <c r="AO140" s="16" t="s">
        <v>744</v>
      </c>
    </row>
    <row r="141" customFormat="false" ht="15" hidden="false" customHeight="false" outlineLevel="0" collapsed="false">
      <c r="AF141" s="16" t="s">
        <v>1012</v>
      </c>
      <c r="AG141" s="16" t="n">
        <v>3</v>
      </c>
      <c r="AH141" s="16" t="s">
        <v>657</v>
      </c>
      <c r="AI141" s="16" t="s">
        <v>612</v>
      </c>
      <c r="AJ141" s="16" t="s">
        <v>988</v>
      </c>
      <c r="AK141" s="16" t="s">
        <v>658</v>
      </c>
      <c r="AL141" s="16" t="s">
        <v>615</v>
      </c>
      <c r="AM141" s="16" t="s">
        <v>122</v>
      </c>
      <c r="AN141" s="16" t="s">
        <v>122</v>
      </c>
      <c r="AO141" s="16" t="s">
        <v>616</v>
      </c>
    </row>
    <row r="142" customFormat="false" ht="15" hidden="false" customHeight="false" outlineLevel="0" collapsed="false">
      <c r="AF142" s="16" t="s">
        <v>1013</v>
      </c>
      <c r="AG142" s="16" t="n">
        <v>3</v>
      </c>
      <c r="AH142" s="16" t="s">
        <v>679</v>
      </c>
      <c r="AI142" s="16" t="s">
        <v>612</v>
      </c>
      <c r="AJ142" s="16" t="s">
        <v>719</v>
      </c>
      <c r="AK142" s="16" t="s">
        <v>658</v>
      </c>
      <c r="AL142" s="16" t="s">
        <v>871</v>
      </c>
      <c r="AM142" s="16" t="s">
        <v>121</v>
      </c>
      <c r="AN142" s="16" t="s">
        <v>122</v>
      </c>
      <c r="AO142" s="16" t="s">
        <v>639</v>
      </c>
    </row>
    <row r="143" customFormat="false" ht="15" hidden="false" customHeight="false" outlineLevel="0" collapsed="false">
      <c r="AF143" s="16" t="s">
        <v>1014</v>
      </c>
      <c r="AG143" s="16" t="n">
        <v>3</v>
      </c>
      <c r="AH143" s="16" t="s">
        <v>679</v>
      </c>
      <c r="AI143" s="16" t="s">
        <v>612</v>
      </c>
      <c r="AJ143" s="16" t="s">
        <v>719</v>
      </c>
      <c r="AK143" s="16" t="s">
        <v>658</v>
      </c>
      <c r="AL143" s="16" t="s">
        <v>890</v>
      </c>
      <c r="AM143" s="16" t="s">
        <v>121</v>
      </c>
      <c r="AN143" s="16" t="s">
        <v>122</v>
      </c>
      <c r="AO143" s="16" t="s">
        <v>639</v>
      </c>
    </row>
    <row r="144" customFormat="false" ht="15" hidden="false" customHeight="false" outlineLevel="0" collapsed="false">
      <c r="AF144" s="16" t="s">
        <v>1015</v>
      </c>
      <c r="AG144" s="16" t="n">
        <v>3</v>
      </c>
      <c r="AH144" s="16" t="s">
        <v>806</v>
      </c>
      <c r="AI144" s="16" t="s">
        <v>731</v>
      </c>
      <c r="AJ144" s="16" t="s">
        <v>719</v>
      </c>
      <c r="AK144" s="16" t="s">
        <v>658</v>
      </c>
      <c r="AL144" s="16" t="s">
        <v>931</v>
      </c>
      <c r="AM144" s="16" t="s">
        <v>122</v>
      </c>
      <c r="AN144" s="16" t="s">
        <v>122</v>
      </c>
      <c r="AO144" s="16" t="s">
        <v>999</v>
      </c>
    </row>
    <row r="145" customFormat="false" ht="15" hidden="false" customHeight="false" outlineLevel="0" collapsed="false">
      <c r="AF145" s="16" t="s">
        <v>1016</v>
      </c>
      <c r="AG145" s="16" t="n">
        <v>3</v>
      </c>
      <c r="AH145" s="16" t="s">
        <v>679</v>
      </c>
      <c r="AI145" s="16" t="s">
        <v>612</v>
      </c>
      <c r="AJ145" s="16" t="s">
        <v>680</v>
      </c>
      <c r="AK145" s="16" t="s">
        <v>658</v>
      </c>
      <c r="AL145" s="16" t="s">
        <v>659</v>
      </c>
      <c r="AM145" s="16" t="s">
        <v>121</v>
      </c>
      <c r="AN145" s="16" t="s">
        <v>122</v>
      </c>
      <c r="AO145" s="16" t="s">
        <v>616</v>
      </c>
    </row>
    <row r="146" customFormat="false" ht="15" hidden="false" customHeight="false" outlineLevel="0" collapsed="false">
      <c r="AF146" s="16" t="s">
        <v>1017</v>
      </c>
      <c r="AG146" s="16" t="n">
        <v>3</v>
      </c>
      <c r="AH146" s="16" t="s">
        <v>774</v>
      </c>
      <c r="AI146" s="16" t="s">
        <v>612</v>
      </c>
      <c r="AJ146" s="16" t="s">
        <v>637</v>
      </c>
      <c r="AK146" s="16" t="s">
        <v>775</v>
      </c>
      <c r="AL146" s="16" t="s">
        <v>659</v>
      </c>
      <c r="AM146" s="16" t="s">
        <v>121</v>
      </c>
      <c r="AN146" s="16" t="s">
        <v>122</v>
      </c>
      <c r="AO146" s="16" t="s">
        <v>744</v>
      </c>
    </row>
    <row r="147" customFormat="false" ht="15" hidden="false" customHeight="false" outlineLevel="0" collapsed="false">
      <c r="AF147" s="16" t="s">
        <v>1018</v>
      </c>
      <c r="AG147" s="16" t="n">
        <v>3</v>
      </c>
      <c r="AH147" s="16" t="s">
        <v>657</v>
      </c>
      <c r="AI147" s="16" t="s">
        <v>612</v>
      </c>
      <c r="AJ147" s="16" t="s">
        <v>795</v>
      </c>
      <c r="AK147" s="16" t="s">
        <v>658</v>
      </c>
      <c r="AL147" s="16" t="s">
        <v>615</v>
      </c>
      <c r="AM147" s="16" t="s">
        <v>122</v>
      </c>
      <c r="AN147" s="16" t="s">
        <v>122</v>
      </c>
      <c r="AO147" s="16" t="s">
        <v>616</v>
      </c>
    </row>
    <row r="148" customFormat="false" ht="15" hidden="false" customHeight="false" outlineLevel="0" collapsed="false">
      <c r="AF148" s="16" t="s">
        <v>1019</v>
      </c>
      <c r="AG148" s="16" t="n">
        <v>3</v>
      </c>
      <c r="AH148" s="16" t="s">
        <v>806</v>
      </c>
      <c r="AI148" s="16" t="s">
        <v>743</v>
      </c>
      <c r="AJ148" s="16" t="s">
        <v>781</v>
      </c>
      <c r="AK148" s="16" t="s">
        <v>658</v>
      </c>
      <c r="AL148" s="16" t="s">
        <v>731</v>
      </c>
      <c r="AM148" s="16" t="s">
        <v>122</v>
      </c>
      <c r="AN148" s="16" t="s">
        <v>122</v>
      </c>
      <c r="AO148" s="16" t="s">
        <v>915</v>
      </c>
    </row>
    <row r="149" customFormat="false" ht="15" hidden="false" customHeight="false" outlineLevel="0" collapsed="false">
      <c r="AF149" s="16" t="s">
        <v>1020</v>
      </c>
      <c r="AG149" s="16" t="n">
        <v>3</v>
      </c>
      <c r="AH149" s="16" t="s">
        <v>774</v>
      </c>
      <c r="AI149" s="16" t="s">
        <v>612</v>
      </c>
      <c r="AJ149" s="16" t="s">
        <v>637</v>
      </c>
      <c r="AK149" s="16" t="s">
        <v>658</v>
      </c>
      <c r="AL149" s="16" t="s">
        <v>871</v>
      </c>
      <c r="AM149" s="16" t="s">
        <v>121</v>
      </c>
      <c r="AN149" s="16" t="s">
        <v>122</v>
      </c>
      <c r="AO149" s="16" t="s">
        <v>744</v>
      </c>
    </row>
    <row r="150" customFormat="false" ht="15" hidden="false" customHeight="false" outlineLevel="0" collapsed="false">
      <c r="AF150" s="16" t="s">
        <v>1021</v>
      </c>
      <c r="AG150" s="16" t="n">
        <v>3</v>
      </c>
      <c r="AH150" s="16" t="s">
        <v>657</v>
      </c>
      <c r="AI150" s="16" t="s">
        <v>814</v>
      </c>
      <c r="AJ150" s="16" t="s">
        <v>613</v>
      </c>
      <c r="AK150" s="16" t="s">
        <v>822</v>
      </c>
      <c r="AL150" s="16" t="s">
        <v>615</v>
      </c>
      <c r="AM150" s="16" t="s">
        <v>122</v>
      </c>
      <c r="AN150" s="16" t="s">
        <v>122</v>
      </c>
      <c r="AO150" s="16" t="s">
        <v>648</v>
      </c>
    </row>
    <row r="151" customFormat="false" ht="15" hidden="false" customHeight="false" outlineLevel="0" collapsed="false">
      <c r="AF151" s="16" t="s">
        <v>1022</v>
      </c>
      <c r="AG151" s="16" t="n">
        <v>3</v>
      </c>
      <c r="AH151" s="16" t="s">
        <v>679</v>
      </c>
      <c r="AI151" s="16" t="s">
        <v>612</v>
      </c>
      <c r="AJ151" s="16" t="s">
        <v>719</v>
      </c>
      <c r="AK151" s="16" t="s">
        <v>614</v>
      </c>
      <c r="AL151" s="16" t="s">
        <v>832</v>
      </c>
      <c r="AM151" s="16" t="s">
        <v>122</v>
      </c>
      <c r="AN151" s="16" t="s">
        <v>121</v>
      </c>
      <c r="AO151" s="16" t="s">
        <v>648</v>
      </c>
    </row>
    <row r="152" customFormat="false" ht="15" hidden="false" customHeight="false" outlineLevel="0" collapsed="false">
      <c r="AF152" s="16" t="s">
        <v>1023</v>
      </c>
      <c r="AG152" s="16" t="n">
        <v>3</v>
      </c>
      <c r="AH152" s="16" t="s">
        <v>806</v>
      </c>
      <c r="AI152" s="16" t="s">
        <v>612</v>
      </c>
      <c r="AJ152" s="16" t="s">
        <v>719</v>
      </c>
      <c r="AK152" s="16" t="s">
        <v>658</v>
      </c>
      <c r="AL152" s="16" t="s">
        <v>832</v>
      </c>
      <c r="AM152" s="16" t="s">
        <v>122</v>
      </c>
      <c r="AN152" s="16" t="s">
        <v>122</v>
      </c>
      <c r="AO152" s="16" t="s">
        <v>1024</v>
      </c>
    </row>
    <row r="153" customFormat="false" ht="15" hidden="false" customHeight="false" outlineLevel="0" collapsed="false">
      <c r="AF153" s="16" t="s">
        <v>1025</v>
      </c>
      <c r="AG153" s="16" t="n">
        <v>3</v>
      </c>
      <c r="AH153" s="16" t="s">
        <v>774</v>
      </c>
      <c r="AI153" s="16" t="s">
        <v>743</v>
      </c>
      <c r="AJ153" s="16" t="s">
        <v>680</v>
      </c>
      <c r="AK153" s="16" t="s">
        <v>614</v>
      </c>
      <c r="AL153" s="16" t="s">
        <v>731</v>
      </c>
      <c r="AM153" s="16" t="s">
        <v>122</v>
      </c>
      <c r="AN153" s="16" t="s">
        <v>121</v>
      </c>
      <c r="AO153" s="16" t="s">
        <v>768</v>
      </c>
    </row>
    <row r="154" customFormat="false" ht="15" hidden="false" customHeight="false" outlineLevel="0" collapsed="false">
      <c r="AF154" s="16" t="s">
        <v>1026</v>
      </c>
      <c r="AG154" s="16" t="n">
        <v>3</v>
      </c>
      <c r="AH154" s="16" t="s">
        <v>679</v>
      </c>
      <c r="AI154" s="16" t="s">
        <v>612</v>
      </c>
      <c r="AJ154" s="16" t="s">
        <v>988</v>
      </c>
      <c r="AK154" s="16" t="s">
        <v>614</v>
      </c>
      <c r="AL154" s="16" t="s">
        <v>615</v>
      </c>
      <c r="AM154" s="16" t="s">
        <v>122</v>
      </c>
      <c r="AN154" s="16" t="s">
        <v>122</v>
      </c>
      <c r="AO154" s="16" t="s">
        <v>838</v>
      </c>
    </row>
    <row r="155" customFormat="false" ht="15" hidden="false" customHeight="false" outlineLevel="0" collapsed="false">
      <c r="AF155" s="16" t="s">
        <v>1027</v>
      </c>
      <c r="AG155" s="16" t="n">
        <v>3</v>
      </c>
      <c r="AH155" s="16" t="s">
        <v>806</v>
      </c>
      <c r="AI155" s="16" t="s">
        <v>612</v>
      </c>
      <c r="AJ155" s="16" t="s">
        <v>719</v>
      </c>
      <c r="AK155" s="16" t="s">
        <v>614</v>
      </c>
      <c r="AL155" s="16" t="s">
        <v>890</v>
      </c>
      <c r="AM155" s="16" t="s">
        <v>121</v>
      </c>
      <c r="AN155" s="16" t="s">
        <v>122</v>
      </c>
      <c r="AO155" s="16" t="s">
        <v>1028</v>
      </c>
    </row>
    <row r="156" customFormat="false" ht="15" hidden="false" customHeight="false" outlineLevel="0" collapsed="false">
      <c r="AF156" s="16" t="s">
        <v>1029</v>
      </c>
      <c r="AG156" s="16" t="n">
        <v>3</v>
      </c>
      <c r="AH156" s="16" t="s">
        <v>806</v>
      </c>
      <c r="AI156" s="16" t="s">
        <v>612</v>
      </c>
      <c r="AJ156" s="16" t="s">
        <v>719</v>
      </c>
      <c r="AK156" s="16" t="s">
        <v>614</v>
      </c>
      <c r="AL156" s="16" t="s">
        <v>615</v>
      </c>
      <c r="AM156" s="16" t="s">
        <v>122</v>
      </c>
      <c r="AN156" s="16" t="s">
        <v>122</v>
      </c>
      <c r="AO156" s="16" t="s">
        <v>915</v>
      </c>
    </row>
    <row r="157" customFormat="false" ht="15" hidden="false" customHeight="false" outlineLevel="0" collapsed="false">
      <c r="AF157" s="16" t="s">
        <v>1030</v>
      </c>
      <c r="AG157" s="16" t="n">
        <v>3</v>
      </c>
      <c r="AH157" s="16" t="s">
        <v>611</v>
      </c>
      <c r="AI157" s="16" t="s">
        <v>612</v>
      </c>
      <c r="AJ157" s="16" t="s">
        <v>719</v>
      </c>
      <c r="AK157" s="16" t="s">
        <v>658</v>
      </c>
      <c r="AL157" s="16" t="s">
        <v>615</v>
      </c>
      <c r="AM157" s="16" t="s">
        <v>122</v>
      </c>
      <c r="AN157" s="16" t="s">
        <v>122</v>
      </c>
      <c r="AO157" s="16" t="s">
        <v>845</v>
      </c>
    </row>
    <row r="158" customFormat="false" ht="15" hidden="false" customHeight="false" outlineLevel="0" collapsed="false">
      <c r="AF158" s="16" t="s">
        <v>1031</v>
      </c>
      <c r="AG158" s="16" t="n">
        <v>3</v>
      </c>
      <c r="AH158" s="16" t="s">
        <v>657</v>
      </c>
      <c r="AI158" s="16" t="s">
        <v>612</v>
      </c>
      <c r="AJ158" s="16" t="s">
        <v>1032</v>
      </c>
      <c r="AK158" s="16" t="s">
        <v>658</v>
      </c>
      <c r="AL158" s="16" t="s">
        <v>638</v>
      </c>
      <c r="AM158" s="16" t="s">
        <v>122</v>
      </c>
      <c r="AN158" s="16" t="s">
        <v>122</v>
      </c>
      <c r="AO158" s="16" t="s">
        <v>999</v>
      </c>
    </row>
    <row r="159" customFormat="false" ht="15" hidden="false" customHeight="false" outlineLevel="0" collapsed="false">
      <c r="AF159" s="16" t="s">
        <v>1033</v>
      </c>
      <c r="AG159" s="16" t="n">
        <v>3</v>
      </c>
      <c r="AH159" s="16" t="s">
        <v>611</v>
      </c>
      <c r="AI159" s="16" t="s">
        <v>612</v>
      </c>
      <c r="AJ159" s="16" t="s">
        <v>988</v>
      </c>
      <c r="AK159" s="16" t="s">
        <v>658</v>
      </c>
      <c r="AL159" s="16" t="s">
        <v>659</v>
      </c>
      <c r="AM159" s="16" t="s">
        <v>121</v>
      </c>
      <c r="AN159" s="16" t="s">
        <v>122</v>
      </c>
      <c r="AO159" s="16" t="s">
        <v>957</v>
      </c>
    </row>
    <row r="160" customFormat="false" ht="15" hidden="false" customHeight="false" outlineLevel="0" collapsed="false">
      <c r="AF160" s="16" t="s">
        <v>1034</v>
      </c>
      <c r="AG160" s="16" t="n">
        <v>3</v>
      </c>
      <c r="AH160" s="16" t="s">
        <v>679</v>
      </c>
      <c r="AI160" s="16" t="s">
        <v>612</v>
      </c>
      <c r="AJ160" s="16" t="s">
        <v>637</v>
      </c>
      <c r="AK160" s="16" t="s">
        <v>658</v>
      </c>
      <c r="AL160" s="16" t="s">
        <v>659</v>
      </c>
      <c r="AM160" s="16" t="s">
        <v>121</v>
      </c>
      <c r="AN160" s="16" t="s">
        <v>122</v>
      </c>
      <c r="AO160" s="16" t="s">
        <v>616</v>
      </c>
    </row>
    <row r="161" customFormat="false" ht="15" hidden="false" customHeight="false" outlineLevel="0" collapsed="false">
      <c r="AF161" s="16" t="s">
        <v>1035</v>
      </c>
      <c r="AG161" s="16" t="n">
        <v>3</v>
      </c>
      <c r="AH161" s="16" t="s">
        <v>636</v>
      </c>
      <c r="AI161" s="16" t="s">
        <v>612</v>
      </c>
      <c r="AJ161" s="16" t="s">
        <v>781</v>
      </c>
      <c r="AK161" s="16" t="s">
        <v>658</v>
      </c>
      <c r="AL161" s="16" t="s">
        <v>796</v>
      </c>
      <c r="AM161" s="16" t="s">
        <v>122</v>
      </c>
      <c r="AN161" s="16" t="s">
        <v>122</v>
      </c>
      <c r="AO161" s="16" t="s">
        <v>842</v>
      </c>
    </row>
    <row r="162" customFormat="false" ht="15" hidden="false" customHeight="false" outlineLevel="0" collapsed="false">
      <c r="AF162" s="16" t="s">
        <v>1036</v>
      </c>
      <c r="AG162" s="16" t="n">
        <v>3</v>
      </c>
      <c r="AH162" s="16" t="s">
        <v>679</v>
      </c>
      <c r="AI162" s="16" t="s">
        <v>612</v>
      </c>
      <c r="AJ162" s="16" t="s">
        <v>795</v>
      </c>
      <c r="AK162" s="16" t="s">
        <v>614</v>
      </c>
      <c r="AL162" s="16" t="s">
        <v>796</v>
      </c>
      <c r="AM162" s="16" t="s">
        <v>122</v>
      </c>
      <c r="AN162" s="16" t="s">
        <v>122</v>
      </c>
      <c r="AO162" s="16" t="s">
        <v>838</v>
      </c>
    </row>
    <row r="163" customFormat="false" ht="15" hidden="false" customHeight="false" outlineLevel="0" collapsed="false">
      <c r="AF163" s="16" t="s">
        <v>1037</v>
      </c>
      <c r="AG163" s="16" t="n">
        <v>3</v>
      </c>
      <c r="AH163" s="16" t="s">
        <v>611</v>
      </c>
      <c r="AI163" s="16" t="s">
        <v>612</v>
      </c>
      <c r="AJ163" s="16" t="s">
        <v>795</v>
      </c>
      <c r="AK163" s="16" t="s">
        <v>658</v>
      </c>
      <c r="AL163" s="16" t="s">
        <v>871</v>
      </c>
      <c r="AM163" s="16" t="s">
        <v>121</v>
      </c>
      <c r="AN163" s="16" t="s">
        <v>122</v>
      </c>
      <c r="AO163" s="16" t="s">
        <v>648</v>
      </c>
    </row>
    <row r="164" customFormat="false" ht="15" hidden="false" customHeight="false" outlineLevel="0" collapsed="false">
      <c r="AF164" s="16" t="s">
        <v>1038</v>
      </c>
      <c r="AG164" s="16" t="n">
        <v>3</v>
      </c>
      <c r="AH164" s="16" t="s">
        <v>611</v>
      </c>
      <c r="AI164" s="16" t="s">
        <v>612</v>
      </c>
      <c r="AJ164" s="16" t="s">
        <v>881</v>
      </c>
      <c r="AK164" s="16" t="s">
        <v>658</v>
      </c>
      <c r="AL164" s="16" t="s">
        <v>659</v>
      </c>
      <c r="AM164" s="16" t="s">
        <v>121</v>
      </c>
      <c r="AN164" s="16" t="s">
        <v>122</v>
      </c>
      <c r="AO164" s="16" t="s">
        <v>660</v>
      </c>
    </row>
    <row r="165" customFormat="false" ht="15" hidden="false" customHeight="false" outlineLevel="0" collapsed="false">
      <c r="AF165" s="16" t="s">
        <v>1039</v>
      </c>
      <c r="AG165" s="16" t="n">
        <v>3</v>
      </c>
      <c r="AH165" s="16" t="s">
        <v>657</v>
      </c>
      <c r="AI165" s="16" t="s">
        <v>743</v>
      </c>
      <c r="AJ165" s="16" t="s">
        <v>795</v>
      </c>
      <c r="AK165" s="16" t="s">
        <v>658</v>
      </c>
      <c r="AL165" s="16" t="s">
        <v>832</v>
      </c>
      <c r="AM165" s="16" t="s">
        <v>122</v>
      </c>
      <c r="AN165" s="16" t="s">
        <v>121</v>
      </c>
      <c r="AO165" s="16" t="s">
        <v>902</v>
      </c>
    </row>
    <row r="166" customFormat="false" ht="15" hidden="false" customHeight="false" outlineLevel="0" collapsed="false">
      <c r="AF166" s="16" t="s">
        <v>1040</v>
      </c>
      <c r="AG166" s="16" t="n">
        <v>3</v>
      </c>
      <c r="AH166" s="16" t="s">
        <v>718</v>
      </c>
      <c r="AI166" s="16" t="s">
        <v>612</v>
      </c>
      <c r="AJ166" s="16" t="s">
        <v>719</v>
      </c>
      <c r="AK166" s="16" t="s">
        <v>730</v>
      </c>
      <c r="AL166" s="16" t="s">
        <v>731</v>
      </c>
      <c r="AM166" s="16" t="s">
        <v>122</v>
      </c>
      <c r="AN166" s="16" t="s">
        <v>122</v>
      </c>
      <c r="AO166" s="16" t="s">
        <v>1041</v>
      </c>
    </row>
    <row r="167" customFormat="false" ht="15" hidden="false" customHeight="false" outlineLevel="0" collapsed="false">
      <c r="AF167" s="16" t="s">
        <v>1042</v>
      </c>
      <c r="AG167" s="16" t="n">
        <v>3</v>
      </c>
      <c r="AH167" s="16" t="s">
        <v>636</v>
      </c>
      <c r="AI167" s="16" t="s">
        <v>612</v>
      </c>
      <c r="AJ167" s="16" t="s">
        <v>795</v>
      </c>
      <c r="AK167" s="16" t="s">
        <v>614</v>
      </c>
      <c r="AL167" s="16" t="s">
        <v>659</v>
      </c>
      <c r="AM167" s="16" t="s">
        <v>121</v>
      </c>
      <c r="AN167" s="16" t="s">
        <v>122</v>
      </c>
      <c r="AO167" s="16" t="s">
        <v>979</v>
      </c>
    </row>
    <row r="168" customFormat="false" ht="15" hidden="false" customHeight="false" outlineLevel="0" collapsed="false">
      <c r="AF168" s="16" t="s">
        <v>1043</v>
      </c>
      <c r="AG168" s="16" t="n">
        <v>3</v>
      </c>
      <c r="AH168" s="16" t="s">
        <v>679</v>
      </c>
      <c r="AI168" s="16" t="s">
        <v>612</v>
      </c>
      <c r="AJ168" s="16" t="s">
        <v>680</v>
      </c>
      <c r="AK168" s="16" t="s">
        <v>658</v>
      </c>
      <c r="AL168" s="16" t="s">
        <v>837</v>
      </c>
      <c r="AM168" s="16" t="s">
        <v>122</v>
      </c>
      <c r="AN168" s="16" t="s">
        <v>121</v>
      </c>
      <c r="AO168" s="16" t="s">
        <v>891</v>
      </c>
    </row>
    <row r="169" customFormat="false" ht="15" hidden="false" customHeight="false" outlineLevel="0" collapsed="false">
      <c r="AF169" s="16" t="s">
        <v>1044</v>
      </c>
      <c r="AG169" s="16" t="n">
        <v>3</v>
      </c>
      <c r="AH169" s="16" t="s">
        <v>679</v>
      </c>
      <c r="AI169" s="16" t="s">
        <v>612</v>
      </c>
      <c r="AJ169" s="16" t="s">
        <v>680</v>
      </c>
      <c r="AK169" s="16" t="s">
        <v>658</v>
      </c>
      <c r="AL169" s="16" t="s">
        <v>731</v>
      </c>
      <c r="AM169" s="16" t="s">
        <v>122</v>
      </c>
      <c r="AN169" s="16" t="s">
        <v>121</v>
      </c>
      <c r="AO169" s="16" t="s">
        <v>1045</v>
      </c>
    </row>
    <row r="170" customFormat="false" ht="15" hidden="false" customHeight="false" outlineLevel="0" collapsed="false">
      <c r="AF170" s="16" t="s">
        <v>1046</v>
      </c>
      <c r="AG170" s="16" t="n">
        <v>3</v>
      </c>
      <c r="AH170" s="16" t="s">
        <v>657</v>
      </c>
      <c r="AI170" s="16" t="s">
        <v>612</v>
      </c>
      <c r="AJ170" s="16" t="s">
        <v>637</v>
      </c>
      <c r="AK170" s="16" t="s">
        <v>658</v>
      </c>
      <c r="AL170" s="16" t="s">
        <v>659</v>
      </c>
      <c r="AM170" s="16" t="s">
        <v>121</v>
      </c>
      <c r="AN170" s="16" t="s">
        <v>122</v>
      </c>
      <c r="AO170" s="16" t="s">
        <v>893</v>
      </c>
    </row>
    <row r="171" customFormat="false" ht="15" hidden="false" customHeight="false" outlineLevel="0" collapsed="false">
      <c r="AF171" s="16" t="s">
        <v>1047</v>
      </c>
      <c r="AG171" s="16" t="n">
        <v>4</v>
      </c>
      <c r="AH171" s="16" t="s">
        <v>718</v>
      </c>
      <c r="AI171" s="16" t="s">
        <v>612</v>
      </c>
      <c r="AJ171" s="16" t="s">
        <v>680</v>
      </c>
      <c r="AK171" s="16" t="s">
        <v>658</v>
      </c>
      <c r="AL171" s="16" t="s">
        <v>890</v>
      </c>
      <c r="AM171" s="16" t="s">
        <v>121</v>
      </c>
      <c r="AN171" s="16" t="s">
        <v>122</v>
      </c>
      <c r="AO171" s="16" t="s">
        <v>940</v>
      </c>
    </row>
    <row r="172" customFormat="false" ht="15" hidden="false" customHeight="false" outlineLevel="0" collapsed="false">
      <c r="AF172" s="16" t="s">
        <v>1048</v>
      </c>
      <c r="AG172" s="16" t="n">
        <v>4</v>
      </c>
      <c r="AH172" s="16" t="s">
        <v>806</v>
      </c>
      <c r="AI172" s="16" t="s">
        <v>612</v>
      </c>
      <c r="AJ172" s="16" t="s">
        <v>613</v>
      </c>
      <c r="AK172" s="16" t="s">
        <v>658</v>
      </c>
      <c r="AL172" s="16" t="s">
        <v>659</v>
      </c>
      <c r="AM172" s="16" t="s">
        <v>121</v>
      </c>
      <c r="AN172" s="16" t="s">
        <v>122</v>
      </c>
      <c r="AO172" s="16" t="s">
        <v>1049</v>
      </c>
    </row>
    <row r="173" customFormat="false" ht="15" hidden="false" customHeight="false" outlineLevel="0" collapsed="false">
      <c r="AF173" s="16" t="s">
        <v>1050</v>
      </c>
      <c r="AG173" s="16" t="n">
        <v>4</v>
      </c>
      <c r="AH173" s="16" t="s">
        <v>611</v>
      </c>
      <c r="AI173" s="16" t="s">
        <v>612</v>
      </c>
      <c r="AJ173" s="16" t="s">
        <v>881</v>
      </c>
      <c r="AK173" s="16" t="s">
        <v>658</v>
      </c>
      <c r="AL173" s="16" t="s">
        <v>659</v>
      </c>
      <c r="AM173" s="16" t="s">
        <v>121</v>
      </c>
      <c r="AN173" s="16" t="s">
        <v>122</v>
      </c>
      <c r="AO173" s="16" t="s">
        <v>768</v>
      </c>
    </row>
    <row r="174" customFormat="false" ht="15" hidden="false" customHeight="false" outlineLevel="0" collapsed="false">
      <c r="AF174" s="16" t="s">
        <v>1051</v>
      </c>
      <c r="AG174" s="16" t="n">
        <v>4</v>
      </c>
      <c r="AH174" s="16" t="s">
        <v>636</v>
      </c>
      <c r="AI174" s="16" t="s">
        <v>612</v>
      </c>
      <c r="AJ174" s="16" t="s">
        <v>680</v>
      </c>
      <c r="AK174" s="16" t="s">
        <v>614</v>
      </c>
      <c r="AL174" s="16" t="s">
        <v>615</v>
      </c>
      <c r="AM174" s="16" t="s">
        <v>122</v>
      </c>
      <c r="AN174" s="16" t="s">
        <v>122</v>
      </c>
      <c r="AO174" s="16" t="s">
        <v>1052</v>
      </c>
    </row>
    <row r="175" customFormat="false" ht="15" hidden="false" customHeight="false" outlineLevel="0" collapsed="false">
      <c r="AF175" s="16" t="s">
        <v>1053</v>
      </c>
      <c r="AG175" s="16" t="n">
        <v>4</v>
      </c>
      <c r="AH175" s="16" t="s">
        <v>829</v>
      </c>
      <c r="AI175" s="16" t="s">
        <v>612</v>
      </c>
      <c r="AJ175" s="16" t="s">
        <v>680</v>
      </c>
      <c r="AK175" s="16" t="s">
        <v>614</v>
      </c>
      <c r="AL175" s="16" t="s">
        <v>659</v>
      </c>
      <c r="AM175" s="16" t="s">
        <v>121</v>
      </c>
      <c r="AN175" s="16" t="s">
        <v>122</v>
      </c>
      <c r="AO175" s="16" t="s">
        <v>626</v>
      </c>
    </row>
    <row r="176" customFormat="false" ht="15" hidden="false" customHeight="false" outlineLevel="0" collapsed="false">
      <c r="AF176" s="16" t="s">
        <v>1054</v>
      </c>
      <c r="AG176" s="16" t="n">
        <v>4</v>
      </c>
      <c r="AH176" s="16" t="s">
        <v>829</v>
      </c>
      <c r="AI176" s="16" t="s">
        <v>612</v>
      </c>
      <c r="AJ176" s="16" t="s">
        <v>881</v>
      </c>
      <c r="AK176" s="16" t="s">
        <v>658</v>
      </c>
      <c r="AL176" s="16" t="s">
        <v>659</v>
      </c>
      <c r="AM176" s="16" t="s">
        <v>121</v>
      </c>
      <c r="AN176" s="16" t="s">
        <v>122</v>
      </c>
      <c r="AO176" s="16" t="s">
        <v>924</v>
      </c>
    </row>
    <row r="177" customFormat="false" ht="15" hidden="false" customHeight="false" outlineLevel="0" collapsed="false">
      <c r="AF177" s="16" t="s">
        <v>1055</v>
      </c>
      <c r="AG177" s="16" t="n">
        <v>4</v>
      </c>
      <c r="AH177" s="16" t="s">
        <v>611</v>
      </c>
      <c r="AI177" s="16" t="s">
        <v>743</v>
      </c>
      <c r="AJ177" s="16" t="s">
        <v>881</v>
      </c>
      <c r="AK177" s="16" t="s">
        <v>614</v>
      </c>
      <c r="AL177" s="16" t="s">
        <v>890</v>
      </c>
      <c r="AM177" s="16" t="s">
        <v>121</v>
      </c>
      <c r="AN177" s="16" t="s">
        <v>122</v>
      </c>
      <c r="AO177" s="16" t="s">
        <v>954</v>
      </c>
    </row>
    <row r="178" customFormat="false" ht="15" hidden="false" customHeight="false" outlineLevel="0" collapsed="false">
      <c r="AF178" s="16" t="s">
        <v>1056</v>
      </c>
      <c r="AG178" s="16" t="n">
        <v>4</v>
      </c>
      <c r="AH178" s="16" t="s">
        <v>611</v>
      </c>
      <c r="AI178" s="16" t="s">
        <v>612</v>
      </c>
      <c r="AJ178" s="16" t="s">
        <v>613</v>
      </c>
      <c r="AK178" s="16" t="s">
        <v>658</v>
      </c>
      <c r="AL178" s="16" t="s">
        <v>890</v>
      </c>
      <c r="AM178" s="16" t="s">
        <v>121</v>
      </c>
      <c r="AN178" s="16" t="s">
        <v>122</v>
      </c>
      <c r="AO178" s="16" t="s">
        <v>893</v>
      </c>
    </row>
    <row r="179" customFormat="false" ht="15" hidden="false" customHeight="false" outlineLevel="0" collapsed="false">
      <c r="AF179" s="16" t="s">
        <v>1057</v>
      </c>
      <c r="AG179" s="16" t="n">
        <v>4</v>
      </c>
      <c r="AH179" s="16" t="s">
        <v>679</v>
      </c>
      <c r="AI179" s="16" t="s">
        <v>612</v>
      </c>
      <c r="AJ179" s="16" t="s">
        <v>1058</v>
      </c>
      <c r="AK179" s="16" t="s">
        <v>658</v>
      </c>
      <c r="AL179" s="16" t="s">
        <v>871</v>
      </c>
      <c r="AM179" s="16" t="s">
        <v>121</v>
      </c>
      <c r="AN179" s="16" t="s">
        <v>122</v>
      </c>
      <c r="AO179" s="16" t="s">
        <v>1059</v>
      </c>
    </row>
    <row r="180" customFormat="false" ht="15" hidden="false" customHeight="false" outlineLevel="0" collapsed="false">
      <c r="AF180" s="16" t="s">
        <v>1060</v>
      </c>
      <c r="AG180" s="16" t="n">
        <v>4</v>
      </c>
      <c r="AH180" s="16" t="s">
        <v>806</v>
      </c>
      <c r="AI180" s="16" t="s">
        <v>612</v>
      </c>
      <c r="AJ180" s="16" t="s">
        <v>719</v>
      </c>
      <c r="AK180" s="16" t="s">
        <v>614</v>
      </c>
      <c r="AL180" s="16" t="s">
        <v>832</v>
      </c>
      <c r="AM180" s="16" t="s">
        <v>122</v>
      </c>
      <c r="AN180" s="16" t="s">
        <v>122</v>
      </c>
      <c r="AO180" s="16" t="s">
        <v>845</v>
      </c>
    </row>
    <row r="181" customFormat="false" ht="15" hidden="false" customHeight="false" outlineLevel="0" collapsed="false">
      <c r="AF181" s="16" t="s">
        <v>1061</v>
      </c>
      <c r="AG181" s="16" t="n">
        <v>4</v>
      </c>
      <c r="AH181" s="16" t="s">
        <v>611</v>
      </c>
      <c r="AI181" s="16" t="s">
        <v>612</v>
      </c>
      <c r="AJ181" s="16" t="s">
        <v>1062</v>
      </c>
      <c r="AK181" s="16" t="s">
        <v>822</v>
      </c>
      <c r="AL181" s="16" t="s">
        <v>615</v>
      </c>
      <c r="AM181" s="16" t="s">
        <v>122</v>
      </c>
      <c r="AN181" s="16" t="s">
        <v>122</v>
      </c>
      <c r="AO181" s="16" t="s">
        <v>744</v>
      </c>
    </row>
    <row r="182" customFormat="false" ht="15" hidden="false" customHeight="false" outlineLevel="0" collapsed="false">
      <c r="AF182" s="16" t="s">
        <v>718</v>
      </c>
      <c r="AG182" s="16" t="n">
        <v>4</v>
      </c>
      <c r="AH182" s="16" t="s">
        <v>718</v>
      </c>
      <c r="AI182" s="16" t="s">
        <v>612</v>
      </c>
      <c r="AJ182" s="16" t="s">
        <v>795</v>
      </c>
      <c r="AK182" s="16" t="s">
        <v>658</v>
      </c>
      <c r="AL182" s="16" t="s">
        <v>615</v>
      </c>
      <c r="AM182" s="16" t="s">
        <v>122</v>
      </c>
      <c r="AN182" s="16" t="s">
        <v>121</v>
      </c>
      <c r="AO182" s="16" t="s">
        <v>668</v>
      </c>
    </row>
    <row r="183" customFormat="false" ht="15" hidden="false" customHeight="false" outlineLevel="0" collapsed="false">
      <c r="AF183" s="16" t="s">
        <v>1063</v>
      </c>
      <c r="AG183" s="16" t="n">
        <v>4</v>
      </c>
      <c r="AH183" s="16" t="s">
        <v>829</v>
      </c>
      <c r="AI183" s="16" t="s">
        <v>612</v>
      </c>
      <c r="AJ183" s="16" t="s">
        <v>613</v>
      </c>
      <c r="AK183" s="16" t="s">
        <v>614</v>
      </c>
      <c r="AL183" s="16" t="s">
        <v>659</v>
      </c>
      <c r="AM183" s="16" t="s">
        <v>121</v>
      </c>
      <c r="AN183" s="16" t="s">
        <v>122</v>
      </c>
      <c r="AO183" s="16" t="s">
        <v>1064</v>
      </c>
    </row>
    <row r="184" customFormat="false" ht="15" hidden="false" customHeight="false" outlineLevel="0" collapsed="false">
      <c r="AF184" s="16" t="s">
        <v>1065</v>
      </c>
      <c r="AG184" s="16" t="n">
        <v>4</v>
      </c>
      <c r="AH184" s="16" t="s">
        <v>679</v>
      </c>
      <c r="AI184" s="16" t="s">
        <v>796</v>
      </c>
      <c r="AJ184" s="16" t="s">
        <v>637</v>
      </c>
      <c r="AK184" s="16" t="s">
        <v>614</v>
      </c>
      <c r="AL184" s="16" t="s">
        <v>615</v>
      </c>
      <c r="AM184" s="16" t="s">
        <v>122</v>
      </c>
      <c r="AN184" s="16" t="s">
        <v>122</v>
      </c>
      <c r="AO184" s="16" t="s">
        <v>768</v>
      </c>
    </row>
    <row r="185" customFormat="false" ht="15" hidden="false" customHeight="false" outlineLevel="0" collapsed="false">
      <c r="AF185" s="16" t="s">
        <v>1066</v>
      </c>
      <c r="AG185" s="16" t="n">
        <v>4</v>
      </c>
      <c r="AH185" s="16" t="s">
        <v>611</v>
      </c>
      <c r="AI185" s="16" t="s">
        <v>612</v>
      </c>
      <c r="AJ185" s="16" t="s">
        <v>680</v>
      </c>
      <c r="AK185" s="16" t="s">
        <v>658</v>
      </c>
      <c r="AL185" s="16" t="s">
        <v>832</v>
      </c>
      <c r="AM185" s="16" t="s">
        <v>122</v>
      </c>
      <c r="AN185" s="16" t="s">
        <v>122</v>
      </c>
      <c r="AO185" s="16" t="s">
        <v>768</v>
      </c>
    </row>
    <row r="186" customFormat="false" ht="15" hidden="false" customHeight="false" outlineLevel="0" collapsed="false">
      <c r="AF186" s="16" t="s">
        <v>1067</v>
      </c>
      <c r="AG186" s="16" t="n">
        <v>4</v>
      </c>
      <c r="AH186" s="16" t="s">
        <v>657</v>
      </c>
      <c r="AI186" s="16" t="s">
        <v>612</v>
      </c>
      <c r="AJ186" s="16" t="s">
        <v>795</v>
      </c>
      <c r="AK186" s="16" t="s">
        <v>658</v>
      </c>
      <c r="AL186" s="16" t="s">
        <v>796</v>
      </c>
      <c r="AM186" s="16" t="s">
        <v>122</v>
      </c>
      <c r="AN186" s="16" t="s">
        <v>122</v>
      </c>
      <c r="AO186" s="16" t="s">
        <v>768</v>
      </c>
    </row>
    <row r="187" customFormat="false" ht="15" hidden="false" customHeight="false" outlineLevel="0" collapsed="false">
      <c r="AF187" s="16" t="s">
        <v>1068</v>
      </c>
      <c r="AG187" s="16" t="n">
        <v>4</v>
      </c>
      <c r="AH187" s="16" t="s">
        <v>806</v>
      </c>
      <c r="AI187" s="16" t="s">
        <v>612</v>
      </c>
      <c r="AJ187" s="16" t="s">
        <v>719</v>
      </c>
      <c r="AK187" s="16" t="s">
        <v>658</v>
      </c>
      <c r="AL187" s="16" t="s">
        <v>731</v>
      </c>
      <c r="AM187" s="16" t="s">
        <v>122</v>
      </c>
      <c r="AN187" s="16" t="s">
        <v>122</v>
      </c>
      <c r="AO187" s="16" t="s">
        <v>1069</v>
      </c>
    </row>
    <row r="188" customFormat="false" ht="15" hidden="false" customHeight="false" outlineLevel="0" collapsed="false">
      <c r="AF188" s="16" t="s">
        <v>1070</v>
      </c>
      <c r="AG188" s="16" t="n">
        <v>4</v>
      </c>
      <c r="AH188" s="16" t="s">
        <v>679</v>
      </c>
      <c r="AI188" s="16" t="s">
        <v>612</v>
      </c>
      <c r="AJ188" s="16" t="s">
        <v>680</v>
      </c>
      <c r="AK188" s="16" t="s">
        <v>614</v>
      </c>
      <c r="AL188" s="16" t="s">
        <v>871</v>
      </c>
      <c r="AM188" s="16" t="s">
        <v>121</v>
      </c>
      <c r="AN188" s="16" t="s">
        <v>122</v>
      </c>
      <c r="AO188" s="16" t="s">
        <v>668</v>
      </c>
    </row>
    <row r="189" customFormat="false" ht="15" hidden="false" customHeight="false" outlineLevel="0" collapsed="false">
      <c r="AF189" s="16" t="s">
        <v>1071</v>
      </c>
      <c r="AG189" s="16" t="n">
        <v>4</v>
      </c>
      <c r="AH189" s="16" t="s">
        <v>774</v>
      </c>
      <c r="AI189" s="16" t="s">
        <v>612</v>
      </c>
      <c r="AJ189" s="16" t="s">
        <v>719</v>
      </c>
      <c r="AK189" s="16" t="s">
        <v>614</v>
      </c>
      <c r="AL189" s="16" t="s">
        <v>659</v>
      </c>
      <c r="AM189" s="16" t="s">
        <v>121</v>
      </c>
      <c r="AN189" s="16" t="s">
        <v>122</v>
      </c>
      <c r="AO189" s="16" t="s">
        <v>660</v>
      </c>
    </row>
    <row r="190" customFormat="false" ht="15" hidden="false" customHeight="false" outlineLevel="0" collapsed="false">
      <c r="AF190" s="16" t="s">
        <v>1072</v>
      </c>
      <c r="AG190" s="16" t="n">
        <v>4</v>
      </c>
      <c r="AH190" s="16" t="s">
        <v>611</v>
      </c>
      <c r="AI190" s="16" t="s">
        <v>612</v>
      </c>
      <c r="AJ190" s="16" t="s">
        <v>680</v>
      </c>
      <c r="AK190" s="16" t="s">
        <v>822</v>
      </c>
      <c r="AL190" s="16" t="s">
        <v>832</v>
      </c>
      <c r="AM190" s="16" t="s">
        <v>122</v>
      </c>
      <c r="AN190" s="16" t="s">
        <v>122</v>
      </c>
      <c r="AO190" s="16" t="s">
        <v>648</v>
      </c>
    </row>
    <row r="191" customFormat="false" ht="15" hidden="false" customHeight="false" outlineLevel="0" collapsed="false">
      <c r="AF191" s="16" t="s">
        <v>1073</v>
      </c>
      <c r="AG191" s="16" t="n">
        <v>4</v>
      </c>
      <c r="AH191" s="16" t="s">
        <v>774</v>
      </c>
      <c r="AI191" s="16" t="s">
        <v>796</v>
      </c>
      <c r="AJ191" s="16" t="s">
        <v>1058</v>
      </c>
      <c r="AK191" s="16" t="s">
        <v>658</v>
      </c>
      <c r="AL191" s="16" t="s">
        <v>837</v>
      </c>
      <c r="AM191" s="16" t="s">
        <v>122</v>
      </c>
      <c r="AN191" s="16" t="s">
        <v>122</v>
      </c>
      <c r="AO191" s="16" t="s">
        <v>1074</v>
      </c>
    </row>
    <row r="192" customFormat="false" ht="15" hidden="false" customHeight="false" outlineLevel="0" collapsed="false">
      <c r="AF192" s="16" t="s">
        <v>1075</v>
      </c>
      <c r="AG192" s="16" t="n">
        <v>4</v>
      </c>
      <c r="AH192" s="16" t="s">
        <v>657</v>
      </c>
      <c r="AI192" s="16" t="s">
        <v>612</v>
      </c>
      <c r="AJ192" s="16" t="s">
        <v>1058</v>
      </c>
      <c r="AK192" s="16" t="s">
        <v>658</v>
      </c>
      <c r="AL192" s="16" t="s">
        <v>615</v>
      </c>
      <c r="AM192" s="16" t="s">
        <v>122</v>
      </c>
      <c r="AN192" s="16" t="s">
        <v>122</v>
      </c>
      <c r="AO192" s="16" t="s">
        <v>957</v>
      </c>
    </row>
    <row r="193" customFormat="false" ht="15" hidden="false" customHeight="false" outlineLevel="0" collapsed="false">
      <c r="AF193" s="16" t="s">
        <v>1076</v>
      </c>
      <c r="AG193" s="16" t="n">
        <v>4</v>
      </c>
      <c r="AH193" s="16" t="s">
        <v>718</v>
      </c>
      <c r="AI193" s="16" t="s">
        <v>612</v>
      </c>
      <c r="AJ193" s="16" t="s">
        <v>795</v>
      </c>
      <c r="AK193" s="16" t="s">
        <v>658</v>
      </c>
      <c r="AL193" s="16" t="s">
        <v>890</v>
      </c>
      <c r="AM193" s="16" t="s">
        <v>121</v>
      </c>
      <c r="AN193" s="16" t="s">
        <v>122</v>
      </c>
      <c r="AO193" s="16" t="s">
        <v>968</v>
      </c>
    </row>
    <row r="194" customFormat="false" ht="15" hidden="false" customHeight="false" outlineLevel="0" collapsed="false">
      <c r="AF194" s="16" t="s">
        <v>1077</v>
      </c>
      <c r="AG194" s="16" t="n">
        <v>4</v>
      </c>
      <c r="AH194" s="16" t="s">
        <v>774</v>
      </c>
      <c r="AI194" s="16" t="s">
        <v>612</v>
      </c>
      <c r="AJ194" s="16" t="s">
        <v>637</v>
      </c>
      <c r="AK194" s="16" t="s">
        <v>614</v>
      </c>
      <c r="AL194" s="16" t="s">
        <v>659</v>
      </c>
      <c r="AM194" s="16" t="s">
        <v>121</v>
      </c>
      <c r="AN194" s="16" t="s">
        <v>122</v>
      </c>
      <c r="AO194" s="16" t="s">
        <v>768</v>
      </c>
    </row>
    <row r="195" customFormat="false" ht="15" hidden="false" customHeight="false" outlineLevel="0" collapsed="false">
      <c r="AF195" s="16" t="s">
        <v>1078</v>
      </c>
      <c r="AG195" s="16" t="n">
        <v>4</v>
      </c>
      <c r="AH195" s="16" t="s">
        <v>679</v>
      </c>
      <c r="AI195" s="16" t="s">
        <v>612</v>
      </c>
      <c r="AJ195" s="16" t="s">
        <v>613</v>
      </c>
      <c r="AK195" s="16" t="s">
        <v>658</v>
      </c>
      <c r="AL195" s="16" t="s">
        <v>890</v>
      </c>
      <c r="AM195" s="16" t="s">
        <v>121</v>
      </c>
      <c r="AN195" s="16" t="s">
        <v>122</v>
      </c>
      <c r="AO195" s="16" t="s">
        <v>924</v>
      </c>
    </row>
    <row r="196" customFormat="false" ht="15" hidden="false" customHeight="false" outlineLevel="0" collapsed="false">
      <c r="AF196" s="16" t="s">
        <v>1079</v>
      </c>
      <c r="AG196" s="16" t="n">
        <v>4</v>
      </c>
      <c r="AH196" s="16" t="s">
        <v>806</v>
      </c>
      <c r="AI196" s="16" t="s">
        <v>796</v>
      </c>
      <c r="AJ196" s="16" t="s">
        <v>637</v>
      </c>
      <c r="AK196" s="16" t="s">
        <v>658</v>
      </c>
      <c r="AL196" s="16" t="s">
        <v>837</v>
      </c>
      <c r="AM196" s="16" t="s">
        <v>122</v>
      </c>
      <c r="AN196" s="16" t="s">
        <v>122</v>
      </c>
      <c r="AO196" s="16" t="s">
        <v>768</v>
      </c>
    </row>
    <row r="197" customFormat="false" ht="15" hidden="false" customHeight="false" outlineLevel="0" collapsed="false">
      <c r="AF197" s="16" t="s">
        <v>1080</v>
      </c>
      <c r="AG197" s="16" t="n">
        <v>4</v>
      </c>
      <c r="AH197" s="16" t="s">
        <v>657</v>
      </c>
      <c r="AI197" s="16" t="s">
        <v>612</v>
      </c>
      <c r="AJ197" s="16" t="s">
        <v>680</v>
      </c>
      <c r="AK197" s="16" t="s">
        <v>658</v>
      </c>
      <c r="AL197" s="16" t="s">
        <v>659</v>
      </c>
      <c r="AM197" s="16" t="s">
        <v>121</v>
      </c>
      <c r="AN197" s="16" t="s">
        <v>122</v>
      </c>
      <c r="AO197" s="16" t="s">
        <v>768</v>
      </c>
    </row>
    <row r="198" customFormat="false" ht="15" hidden="false" customHeight="false" outlineLevel="0" collapsed="false">
      <c r="AF198" s="16" t="s">
        <v>1081</v>
      </c>
      <c r="AG198" s="16" t="n">
        <v>4</v>
      </c>
      <c r="AH198" s="16" t="s">
        <v>611</v>
      </c>
      <c r="AI198" s="16" t="s">
        <v>612</v>
      </c>
      <c r="AJ198" s="16" t="s">
        <v>719</v>
      </c>
      <c r="AK198" s="16" t="s">
        <v>658</v>
      </c>
      <c r="AL198" s="16" t="s">
        <v>615</v>
      </c>
      <c r="AM198" s="16" t="s">
        <v>122</v>
      </c>
      <c r="AN198" s="16" t="s">
        <v>122</v>
      </c>
      <c r="AO198" s="16" t="s">
        <v>768</v>
      </c>
    </row>
    <row r="199" customFormat="false" ht="15" hidden="false" customHeight="false" outlineLevel="0" collapsed="false">
      <c r="AF199" s="16" t="s">
        <v>1082</v>
      </c>
      <c r="AG199" s="16" t="n">
        <v>4</v>
      </c>
      <c r="AH199" s="16" t="s">
        <v>679</v>
      </c>
      <c r="AI199" s="16" t="s">
        <v>612</v>
      </c>
      <c r="AJ199" s="16" t="s">
        <v>719</v>
      </c>
      <c r="AK199" s="16" t="s">
        <v>658</v>
      </c>
      <c r="AL199" s="16" t="s">
        <v>615</v>
      </c>
      <c r="AM199" s="16" t="s">
        <v>122</v>
      </c>
      <c r="AN199" s="16" t="s">
        <v>122</v>
      </c>
      <c r="AO199" s="16" t="s">
        <v>1059</v>
      </c>
    </row>
    <row r="200" customFormat="false" ht="15" hidden="false" customHeight="false" outlineLevel="0" collapsed="false">
      <c r="AF200" s="16" t="s">
        <v>1083</v>
      </c>
      <c r="AG200" s="16" t="n">
        <v>4</v>
      </c>
      <c r="AH200" s="16" t="s">
        <v>806</v>
      </c>
      <c r="AI200" s="16" t="s">
        <v>612</v>
      </c>
      <c r="AJ200" s="16" t="s">
        <v>719</v>
      </c>
      <c r="AK200" s="16" t="s">
        <v>658</v>
      </c>
      <c r="AL200" s="16" t="s">
        <v>890</v>
      </c>
      <c r="AM200" s="16" t="s">
        <v>121</v>
      </c>
      <c r="AN200" s="16" t="s">
        <v>122</v>
      </c>
      <c r="AO200" s="16" t="s">
        <v>891</v>
      </c>
    </row>
    <row r="201" customFormat="false" ht="15" hidden="false" customHeight="false" outlineLevel="0" collapsed="false">
      <c r="AF201" s="16" t="s">
        <v>1084</v>
      </c>
      <c r="AG201" s="16" t="n">
        <v>4</v>
      </c>
      <c r="AH201" s="16" t="s">
        <v>657</v>
      </c>
      <c r="AI201" s="16" t="s">
        <v>612</v>
      </c>
      <c r="AJ201" s="16" t="s">
        <v>637</v>
      </c>
      <c r="AK201" s="16" t="s">
        <v>658</v>
      </c>
      <c r="AL201" s="16" t="s">
        <v>659</v>
      </c>
      <c r="AM201" s="16" t="s">
        <v>121</v>
      </c>
      <c r="AN201" s="16" t="s">
        <v>122</v>
      </c>
      <c r="AO201" s="16" t="s">
        <v>957</v>
      </c>
    </row>
    <row r="202" customFormat="false" ht="15" hidden="false" customHeight="false" outlineLevel="0" collapsed="false">
      <c r="AF202" s="16" t="s">
        <v>1085</v>
      </c>
      <c r="AG202" s="16" t="n">
        <v>5</v>
      </c>
      <c r="AH202" s="16" t="s">
        <v>679</v>
      </c>
      <c r="AI202" s="16" t="s">
        <v>612</v>
      </c>
      <c r="AJ202" s="16" t="s">
        <v>637</v>
      </c>
      <c r="AK202" s="16" t="s">
        <v>614</v>
      </c>
      <c r="AL202" s="16" t="s">
        <v>659</v>
      </c>
      <c r="AM202" s="16" t="s">
        <v>121</v>
      </c>
      <c r="AN202" s="16" t="s">
        <v>122</v>
      </c>
      <c r="AO202" s="16" t="s">
        <v>660</v>
      </c>
    </row>
    <row r="203" customFormat="false" ht="15" hidden="false" customHeight="false" outlineLevel="0" collapsed="false">
      <c r="AF203" s="16" t="s">
        <v>1086</v>
      </c>
      <c r="AG203" s="16" t="n">
        <v>5</v>
      </c>
      <c r="AH203" s="16" t="s">
        <v>806</v>
      </c>
      <c r="AI203" s="16" t="s">
        <v>612</v>
      </c>
      <c r="AJ203" s="16" t="s">
        <v>795</v>
      </c>
      <c r="AK203" s="16" t="s">
        <v>614</v>
      </c>
      <c r="AL203" s="16" t="s">
        <v>890</v>
      </c>
      <c r="AM203" s="16" t="s">
        <v>121</v>
      </c>
      <c r="AN203" s="16" t="s">
        <v>122</v>
      </c>
      <c r="AO203" s="16" t="s">
        <v>668</v>
      </c>
    </row>
    <row r="204" customFormat="false" ht="15" hidden="false" customHeight="false" outlineLevel="0" collapsed="false">
      <c r="AF204" s="16" t="s">
        <v>1087</v>
      </c>
      <c r="AG204" s="16" t="n">
        <v>5</v>
      </c>
      <c r="AH204" s="16" t="s">
        <v>657</v>
      </c>
      <c r="AI204" s="16" t="s">
        <v>612</v>
      </c>
      <c r="AJ204" s="16" t="s">
        <v>637</v>
      </c>
      <c r="AK204" s="16" t="s">
        <v>658</v>
      </c>
      <c r="AL204" s="16" t="s">
        <v>659</v>
      </c>
      <c r="AM204" s="16" t="s">
        <v>121</v>
      </c>
      <c r="AN204" s="16" t="s">
        <v>122</v>
      </c>
      <c r="AO204" s="16" t="s">
        <v>768</v>
      </c>
    </row>
    <row r="205" customFormat="false" ht="15" hidden="false" customHeight="false" outlineLevel="0" collapsed="false">
      <c r="AF205" s="16" t="s">
        <v>1088</v>
      </c>
      <c r="AG205" s="16" t="n">
        <v>5</v>
      </c>
      <c r="AH205" s="16" t="s">
        <v>679</v>
      </c>
      <c r="AI205" s="16" t="s">
        <v>832</v>
      </c>
      <c r="AJ205" s="16" t="s">
        <v>719</v>
      </c>
      <c r="AK205" s="16" t="s">
        <v>658</v>
      </c>
      <c r="AL205" s="16" t="s">
        <v>615</v>
      </c>
      <c r="AM205" s="16" t="s">
        <v>122</v>
      </c>
      <c r="AN205" s="16" t="s">
        <v>122</v>
      </c>
      <c r="AO205" s="16" t="s">
        <v>959</v>
      </c>
    </row>
    <row r="206" customFormat="false" ht="15" hidden="false" customHeight="false" outlineLevel="0" collapsed="false">
      <c r="AF206" s="16" t="s">
        <v>1089</v>
      </c>
      <c r="AG206" s="16" t="n">
        <v>5</v>
      </c>
      <c r="AH206" s="16" t="s">
        <v>611</v>
      </c>
      <c r="AI206" s="16" t="s">
        <v>612</v>
      </c>
      <c r="AJ206" s="16" t="s">
        <v>637</v>
      </c>
      <c r="AK206" s="16" t="s">
        <v>614</v>
      </c>
      <c r="AL206" s="16" t="s">
        <v>871</v>
      </c>
      <c r="AM206" s="16" t="s">
        <v>121</v>
      </c>
      <c r="AN206" s="16" t="s">
        <v>122</v>
      </c>
      <c r="AO206" s="16" t="s">
        <v>616</v>
      </c>
    </row>
    <row r="207" customFormat="false" ht="15" hidden="false" customHeight="false" outlineLevel="0" collapsed="false">
      <c r="AF207" s="16" t="s">
        <v>1090</v>
      </c>
      <c r="AG207" s="16" t="n">
        <v>5</v>
      </c>
      <c r="AH207" s="16" t="s">
        <v>718</v>
      </c>
      <c r="AI207" s="16" t="s">
        <v>743</v>
      </c>
      <c r="AJ207" s="16" t="s">
        <v>795</v>
      </c>
      <c r="AK207" s="16" t="s">
        <v>658</v>
      </c>
      <c r="AL207" s="16" t="s">
        <v>743</v>
      </c>
      <c r="AM207" s="16" t="s">
        <v>122</v>
      </c>
      <c r="AN207" s="16" t="s">
        <v>121</v>
      </c>
      <c r="AO207" s="16" t="s">
        <v>648</v>
      </c>
    </row>
    <row r="208" customFormat="false" ht="15" hidden="false" customHeight="false" outlineLevel="0" collapsed="false">
      <c r="AF208" s="16" t="s">
        <v>1091</v>
      </c>
      <c r="AG208" s="16" t="n">
        <v>5</v>
      </c>
      <c r="AH208" s="16" t="s">
        <v>718</v>
      </c>
      <c r="AI208" s="16" t="s">
        <v>743</v>
      </c>
      <c r="AJ208" s="16" t="s">
        <v>795</v>
      </c>
      <c r="AK208" s="16" t="s">
        <v>614</v>
      </c>
      <c r="AL208" s="16" t="s">
        <v>615</v>
      </c>
      <c r="AM208" s="16" t="s">
        <v>122</v>
      </c>
      <c r="AN208" s="16" t="s">
        <v>121</v>
      </c>
      <c r="AO208" s="16" t="s">
        <v>893</v>
      </c>
    </row>
    <row r="209" customFormat="false" ht="15" hidden="false" customHeight="false" outlineLevel="0" collapsed="false">
      <c r="AF209" s="16" t="s">
        <v>1092</v>
      </c>
      <c r="AG209" s="16" t="n">
        <v>5</v>
      </c>
      <c r="AH209" s="16" t="s">
        <v>657</v>
      </c>
      <c r="AI209" s="16" t="s">
        <v>612</v>
      </c>
      <c r="AJ209" s="16" t="s">
        <v>795</v>
      </c>
      <c r="AK209" s="16" t="s">
        <v>658</v>
      </c>
      <c r="AL209" s="16" t="s">
        <v>615</v>
      </c>
      <c r="AM209" s="16" t="s">
        <v>122</v>
      </c>
      <c r="AN209" s="16" t="s">
        <v>122</v>
      </c>
      <c r="AO209" s="16" t="s">
        <v>616</v>
      </c>
    </row>
    <row r="210" customFormat="false" ht="15" hidden="false" customHeight="false" outlineLevel="0" collapsed="false">
      <c r="AF210" s="16" t="s">
        <v>1093</v>
      </c>
      <c r="AG210" s="16" t="n">
        <v>5</v>
      </c>
      <c r="AH210" s="16" t="s">
        <v>611</v>
      </c>
      <c r="AI210" s="16" t="s">
        <v>743</v>
      </c>
      <c r="AJ210" s="16" t="s">
        <v>881</v>
      </c>
      <c r="AK210" s="16" t="s">
        <v>658</v>
      </c>
      <c r="AL210" s="16" t="s">
        <v>890</v>
      </c>
      <c r="AM210" s="16" t="s">
        <v>121</v>
      </c>
      <c r="AN210" s="16" t="s">
        <v>122</v>
      </c>
      <c r="AO210" s="16" t="s">
        <v>954</v>
      </c>
    </row>
    <row r="211" customFormat="false" ht="15" hidden="false" customHeight="false" outlineLevel="0" collapsed="false">
      <c r="AF211" s="16" t="s">
        <v>1094</v>
      </c>
      <c r="AG211" s="16" t="n">
        <v>5</v>
      </c>
      <c r="AH211" s="16" t="s">
        <v>718</v>
      </c>
      <c r="AI211" s="16" t="s">
        <v>743</v>
      </c>
      <c r="AJ211" s="16" t="s">
        <v>795</v>
      </c>
      <c r="AK211" s="16" t="s">
        <v>822</v>
      </c>
      <c r="AL211" s="16" t="s">
        <v>743</v>
      </c>
      <c r="AM211" s="16" t="s">
        <v>122</v>
      </c>
      <c r="AN211" s="16" t="s">
        <v>121</v>
      </c>
      <c r="AO211" s="16" t="s">
        <v>979</v>
      </c>
    </row>
    <row r="212" customFormat="false" ht="15" hidden="false" customHeight="false" outlineLevel="0" collapsed="false">
      <c r="AF212" s="16" t="s">
        <v>1095</v>
      </c>
      <c r="AG212" s="16" t="n">
        <v>5</v>
      </c>
      <c r="AH212" s="16" t="s">
        <v>636</v>
      </c>
      <c r="AI212" s="16" t="s">
        <v>612</v>
      </c>
      <c r="AJ212" s="16" t="s">
        <v>719</v>
      </c>
      <c r="AK212" s="16" t="s">
        <v>614</v>
      </c>
      <c r="AL212" s="16" t="s">
        <v>1096</v>
      </c>
      <c r="AM212" s="16" t="s">
        <v>122</v>
      </c>
      <c r="AN212" s="16" t="s">
        <v>122</v>
      </c>
      <c r="AO212" s="16" t="s">
        <v>720</v>
      </c>
    </row>
    <row r="213" customFormat="false" ht="15" hidden="false" customHeight="false" outlineLevel="0" collapsed="false">
      <c r="AF213" s="16" t="s">
        <v>1097</v>
      </c>
      <c r="AG213" s="16" t="n">
        <v>5</v>
      </c>
      <c r="AH213" s="16" t="s">
        <v>774</v>
      </c>
      <c r="AI213" s="16" t="s">
        <v>743</v>
      </c>
      <c r="AJ213" s="16" t="s">
        <v>680</v>
      </c>
      <c r="AK213" s="16" t="s">
        <v>658</v>
      </c>
      <c r="AL213" s="16" t="s">
        <v>1098</v>
      </c>
      <c r="AM213" s="16" t="s">
        <v>122</v>
      </c>
      <c r="AN213" s="16" t="s">
        <v>122</v>
      </c>
      <c r="AO213" s="16" t="s">
        <v>616</v>
      </c>
    </row>
    <row r="214" customFormat="false" ht="15" hidden="false" customHeight="false" outlineLevel="0" collapsed="false">
      <c r="AF214" s="16" t="s">
        <v>1099</v>
      </c>
      <c r="AG214" s="16" t="n">
        <v>5</v>
      </c>
      <c r="AH214" s="16" t="s">
        <v>806</v>
      </c>
      <c r="AI214" s="16" t="s">
        <v>612</v>
      </c>
      <c r="AJ214" s="16" t="s">
        <v>795</v>
      </c>
      <c r="AK214" s="16" t="s">
        <v>658</v>
      </c>
      <c r="AL214" s="16" t="s">
        <v>659</v>
      </c>
      <c r="AM214" s="16" t="s">
        <v>121</v>
      </c>
      <c r="AN214" s="16" t="s">
        <v>122</v>
      </c>
      <c r="AO214" s="16" t="s">
        <v>845</v>
      </c>
    </row>
    <row r="215" customFormat="false" ht="15" hidden="false" customHeight="false" outlineLevel="0" collapsed="false">
      <c r="AF215" s="16" t="s">
        <v>1100</v>
      </c>
      <c r="AG215" s="16" t="n">
        <v>5</v>
      </c>
      <c r="AH215" s="16" t="s">
        <v>829</v>
      </c>
      <c r="AI215" s="16" t="s">
        <v>612</v>
      </c>
      <c r="AJ215" s="16" t="s">
        <v>613</v>
      </c>
      <c r="AK215" s="16" t="s">
        <v>614</v>
      </c>
      <c r="AL215" s="16" t="s">
        <v>659</v>
      </c>
      <c r="AM215" s="16" t="s">
        <v>121</v>
      </c>
      <c r="AN215" s="16" t="s">
        <v>122</v>
      </c>
      <c r="AO215" s="16" t="s">
        <v>660</v>
      </c>
    </row>
    <row r="216" customFormat="false" ht="15" hidden="false" customHeight="false" outlineLevel="0" collapsed="false">
      <c r="AF216" s="16" t="s">
        <v>1101</v>
      </c>
      <c r="AG216" s="16" t="n">
        <v>5</v>
      </c>
      <c r="AH216" s="16" t="s">
        <v>774</v>
      </c>
      <c r="AI216" s="16" t="s">
        <v>743</v>
      </c>
      <c r="AJ216" s="16" t="s">
        <v>1098</v>
      </c>
      <c r="AK216" s="16" t="s">
        <v>658</v>
      </c>
      <c r="AL216" s="16" t="s">
        <v>832</v>
      </c>
      <c r="AM216" s="16" t="s">
        <v>122</v>
      </c>
      <c r="AN216" s="16" t="s">
        <v>122</v>
      </c>
      <c r="AO216" s="16" t="s">
        <v>907</v>
      </c>
    </row>
    <row r="217" customFormat="false" ht="15" hidden="false" customHeight="false" outlineLevel="0" collapsed="false">
      <c r="AF217" s="16" t="s">
        <v>1102</v>
      </c>
      <c r="AG217" s="16" t="n">
        <v>5</v>
      </c>
      <c r="AH217" s="16" t="s">
        <v>657</v>
      </c>
      <c r="AI217" s="16" t="s">
        <v>612</v>
      </c>
      <c r="AJ217" s="16" t="s">
        <v>613</v>
      </c>
      <c r="AK217" s="16" t="s">
        <v>658</v>
      </c>
      <c r="AL217" s="16" t="s">
        <v>615</v>
      </c>
      <c r="AM217" s="16" t="s">
        <v>122</v>
      </c>
      <c r="AN217" s="16" t="s">
        <v>122</v>
      </c>
      <c r="AO217" s="16" t="s">
        <v>648</v>
      </c>
    </row>
    <row r="218" customFormat="false" ht="15" hidden="false" customHeight="false" outlineLevel="0" collapsed="false">
      <c r="AF218" s="16" t="s">
        <v>1103</v>
      </c>
      <c r="AG218" s="16" t="n">
        <v>5</v>
      </c>
      <c r="AH218" s="16" t="s">
        <v>829</v>
      </c>
      <c r="AI218" s="16" t="s">
        <v>743</v>
      </c>
      <c r="AJ218" s="16" t="s">
        <v>613</v>
      </c>
      <c r="AK218" s="16" t="s">
        <v>822</v>
      </c>
      <c r="AL218" s="16" t="s">
        <v>1104</v>
      </c>
      <c r="AM218" s="16" t="s">
        <v>122</v>
      </c>
      <c r="AN218" s="16" t="s">
        <v>122</v>
      </c>
      <c r="AO218" s="16" t="s">
        <v>1105</v>
      </c>
    </row>
    <row r="219" customFormat="false" ht="15" hidden="false" customHeight="false" outlineLevel="0" collapsed="false">
      <c r="AF219" s="16" t="s">
        <v>1106</v>
      </c>
      <c r="AG219" s="16" t="n">
        <v>5</v>
      </c>
      <c r="AH219" s="16" t="s">
        <v>806</v>
      </c>
      <c r="AI219" s="16" t="s">
        <v>612</v>
      </c>
      <c r="AJ219" s="16" t="s">
        <v>719</v>
      </c>
      <c r="AK219" s="16" t="s">
        <v>658</v>
      </c>
      <c r="AL219" s="16" t="s">
        <v>615</v>
      </c>
      <c r="AM219" s="16" t="s">
        <v>122</v>
      </c>
      <c r="AN219" s="16" t="s">
        <v>122</v>
      </c>
      <c r="AO219" s="16" t="s">
        <v>897</v>
      </c>
    </row>
    <row r="220" customFormat="false" ht="15" hidden="false" customHeight="false" outlineLevel="0" collapsed="false">
      <c r="AF220" s="16" t="s">
        <v>1107</v>
      </c>
      <c r="AG220" s="16" t="n">
        <v>5</v>
      </c>
      <c r="AH220" s="16" t="s">
        <v>657</v>
      </c>
      <c r="AI220" s="16" t="s">
        <v>837</v>
      </c>
      <c r="AJ220" s="16" t="s">
        <v>719</v>
      </c>
      <c r="AK220" s="16" t="s">
        <v>658</v>
      </c>
      <c r="AL220" s="16" t="s">
        <v>931</v>
      </c>
      <c r="AM220" s="16" t="s">
        <v>122</v>
      </c>
      <c r="AN220" s="16" t="s">
        <v>122</v>
      </c>
      <c r="AO220" s="16" t="s">
        <v>648</v>
      </c>
    </row>
    <row r="221" customFormat="false" ht="15" hidden="false" customHeight="false" outlineLevel="0" collapsed="false">
      <c r="AF221" s="16" t="s">
        <v>1108</v>
      </c>
      <c r="AG221" s="16" t="n">
        <v>5</v>
      </c>
      <c r="AH221" s="16" t="s">
        <v>829</v>
      </c>
      <c r="AI221" s="16" t="s">
        <v>612</v>
      </c>
      <c r="AJ221" s="16" t="s">
        <v>881</v>
      </c>
      <c r="AK221" s="16" t="s">
        <v>658</v>
      </c>
      <c r="AL221" s="16" t="s">
        <v>659</v>
      </c>
      <c r="AM221" s="16" t="s">
        <v>121</v>
      </c>
      <c r="AN221" s="16" t="s">
        <v>122</v>
      </c>
      <c r="AO221" s="16" t="s">
        <v>744</v>
      </c>
    </row>
    <row r="222" customFormat="false" ht="15" hidden="false" customHeight="false" outlineLevel="0" collapsed="false">
      <c r="AF222" s="16" t="s">
        <v>1109</v>
      </c>
      <c r="AG222" s="16" t="n">
        <v>5</v>
      </c>
      <c r="AH222" s="16" t="s">
        <v>611</v>
      </c>
      <c r="AI222" s="16" t="s">
        <v>612</v>
      </c>
      <c r="AJ222" s="16" t="s">
        <v>1058</v>
      </c>
      <c r="AK222" s="16" t="s">
        <v>658</v>
      </c>
      <c r="AL222" s="16" t="s">
        <v>871</v>
      </c>
      <c r="AM222" s="16" t="s">
        <v>121</v>
      </c>
      <c r="AN222" s="16" t="s">
        <v>122</v>
      </c>
      <c r="AO222" s="16" t="s">
        <v>1110</v>
      </c>
    </row>
    <row r="223" customFormat="false" ht="15" hidden="false" customHeight="false" outlineLevel="0" collapsed="false">
      <c r="AF223" s="16" t="s">
        <v>1111</v>
      </c>
      <c r="AG223" s="16" t="n">
        <v>5</v>
      </c>
      <c r="AH223" s="16" t="s">
        <v>718</v>
      </c>
      <c r="AI223" s="16" t="s">
        <v>796</v>
      </c>
      <c r="AJ223" s="16" t="s">
        <v>795</v>
      </c>
      <c r="AK223" s="16" t="s">
        <v>658</v>
      </c>
      <c r="AL223" s="16" t="s">
        <v>615</v>
      </c>
      <c r="AM223" s="16" t="s">
        <v>122</v>
      </c>
      <c r="AN223" s="16" t="s">
        <v>122</v>
      </c>
      <c r="AO223" s="16" t="s">
        <v>999</v>
      </c>
    </row>
    <row r="224" customFormat="false" ht="15" hidden="false" customHeight="false" outlineLevel="0" collapsed="false">
      <c r="AF224" s="16" t="s">
        <v>1112</v>
      </c>
      <c r="AG224" s="16" t="n">
        <v>5</v>
      </c>
      <c r="AH224" s="16" t="s">
        <v>611</v>
      </c>
      <c r="AI224" s="16" t="s">
        <v>612</v>
      </c>
      <c r="AJ224" s="16" t="s">
        <v>613</v>
      </c>
      <c r="AK224" s="16" t="s">
        <v>614</v>
      </c>
      <c r="AL224" s="16" t="s">
        <v>615</v>
      </c>
      <c r="AM224" s="16" t="s">
        <v>122</v>
      </c>
      <c r="AN224" s="16" t="s">
        <v>122</v>
      </c>
      <c r="AO224" s="16" t="s">
        <v>897</v>
      </c>
    </row>
    <row r="225" customFormat="false" ht="15" hidden="false" customHeight="false" outlineLevel="0" collapsed="false">
      <c r="AF225" s="16" t="s">
        <v>1113</v>
      </c>
      <c r="AG225" s="16" t="n">
        <v>5</v>
      </c>
      <c r="AH225" s="16" t="s">
        <v>774</v>
      </c>
      <c r="AI225" s="16" t="s">
        <v>612</v>
      </c>
      <c r="AJ225" s="16" t="s">
        <v>795</v>
      </c>
      <c r="AK225" s="16" t="s">
        <v>825</v>
      </c>
      <c r="AL225" s="16" t="s">
        <v>890</v>
      </c>
      <c r="AM225" s="16" t="s">
        <v>121</v>
      </c>
      <c r="AN225" s="16" t="s">
        <v>122</v>
      </c>
      <c r="AO225" s="16" t="s">
        <v>902</v>
      </c>
    </row>
    <row r="226" customFormat="false" ht="15" hidden="false" customHeight="false" outlineLevel="0" collapsed="false">
      <c r="AF226" s="16" t="s">
        <v>1114</v>
      </c>
      <c r="AG226" s="16" t="n">
        <v>5</v>
      </c>
      <c r="AH226" s="16" t="s">
        <v>829</v>
      </c>
      <c r="AI226" s="16" t="s">
        <v>612</v>
      </c>
      <c r="AJ226" s="16" t="s">
        <v>680</v>
      </c>
      <c r="AK226" s="16" t="s">
        <v>614</v>
      </c>
      <c r="AL226" s="16" t="s">
        <v>659</v>
      </c>
      <c r="AM226" s="16" t="s">
        <v>121</v>
      </c>
      <c r="AN226" s="16" t="s">
        <v>122</v>
      </c>
      <c r="AO226" s="16" t="s">
        <v>902</v>
      </c>
    </row>
    <row r="227" customFormat="false" ht="15" hidden="false" customHeight="false" outlineLevel="0" collapsed="false">
      <c r="AF227" s="16" t="s">
        <v>1115</v>
      </c>
      <c r="AG227" s="16" t="n">
        <v>5</v>
      </c>
      <c r="AH227" s="16" t="s">
        <v>679</v>
      </c>
      <c r="AI227" s="16" t="s">
        <v>612</v>
      </c>
      <c r="AJ227" s="16" t="s">
        <v>680</v>
      </c>
      <c r="AK227" s="16" t="s">
        <v>658</v>
      </c>
      <c r="AL227" s="16" t="s">
        <v>731</v>
      </c>
      <c r="AM227" s="16" t="s">
        <v>122</v>
      </c>
      <c r="AN227" s="16" t="s">
        <v>122</v>
      </c>
      <c r="AO227" s="16" t="s">
        <v>768</v>
      </c>
    </row>
    <row r="228" customFormat="false" ht="15" hidden="false" customHeight="false" outlineLevel="0" collapsed="false">
      <c r="AF228" s="16" t="s">
        <v>1116</v>
      </c>
      <c r="AG228" s="16" t="n">
        <v>5</v>
      </c>
      <c r="AH228" s="16" t="s">
        <v>806</v>
      </c>
      <c r="AI228" s="16" t="s">
        <v>731</v>
      </c>
      <c r="AJ228" s="16" t="s">
        <v>613</v>
      </c>
      <c r="AK228" s="16" t="s">
        <v>658</v>
      </c>
      <c r="AL228" s="16" t="s">
        <v>837</v>
      </c>
      <c r="AM228" s="16" t="s">
        <v>122</v>
      </c>
      <c r="AN228" s="16" t="s">
        <v>122</v>
      </c>
      <c r="AO228" s="16" t="s">
        <v>1117</v>
      </c>
    </row>
    <row r="229" customFormat="false" ht="15" hidden="false" customHeight="false" outlineLevel="0" collapsed="false">
      <c r="AF229" s="16" t="s">
        <v>1118</v>
      </c>
      <c r="AG229" s="16" t="n">
        <v>5</v>
      </c>
      <c r="AH229" s="16" t="s">
        <v>636</v>
      </c>
      <c r="AI229" s="16" t="s">
        <v>731</v>
      </c>
      <c r="AJ229" s="16" t="s">
        <v>719</v>
      </c>
      <c r="AK229" s="16" t="s">
        <v>658</v>
      </c>
      <c r="AL229" s="16" t="s">
        <v>615</v>
      </c>
      <c r="AM229" s="16" t="s">
        <v>122</v>
      </c>
      <c r="AN229" s="16" t="s">
        <v>122</v>
      </c>
      <c r="AO229" s="16" t="s">
        <v>995</v>
      </c>
    </row>
    <row r="230" customFormat="false" ht="15" hidden="false" customHeight="false" outlineLevel="0" collapsed="false">
      <c r="AF230" s="16" t="s">
        <v>1119</v>
      </c>
      <c r="AG230" s="16" t="n">
        <v>5</v>
      </c>
      <c r="AH230" s="16" t="s">
        <v>679</v>
      </c>
      <c r="AI230" s="16" t="s">
        <v>731</v>
      </c>
      <c r="AJ230" s="16" t="s">
        <v>719</v>
      </c>
      <c r="AK230" s="16" t="s">
        <v>658</v>
      </c>
      <c r="AL230" s="16" t="s">
        <v>615</v>
      </c>
      <c r="AM230" s="16" t="s">
        <v>122</v>
      </c>
      <c r="AN230" s="16" t="s">
        <v>122</v>
      </c>
      <c r="AO230" s="16" t="s">
        <v>668</v>
      </c>
    </row>
    <row r="231" customFormat="false" ht="15" hidden="false" customHeight="false" outlineLevel="0" collapsed="false">
      <c r="AF231" s="16" t="s">
        <v>1120</v>
      </c>
      <c r="AG231" s="16" t="n">
        <v>5</v>
      </c>
      <c r="AH231" s="16" t="s">
        <v>718</v>
      </c>
      <c r="AI231" s="16" t="s">
        <v>796</v>
      </c>
      <c r="AJ231" s="16" t="s">
        <v>795</v>
      </c>
      <c r="AK231" s="16" t="s">
        <v>658</v>
      </c>
      <c r="AL231" s="16" t="s">
        <v>871</v>
      </c>
      <c r="AM231" s="16" t="s">
        <v>121</v>
      </c>
      <c r="AN231" s="16" t="s">
        <v>122</v>
      </c>
      <c r="AO231" s="16" t="s">
        <v>1121</v>
      </c>
    </row>
    <row r="232" customFormat="false" ht="15" hidden="false" customHeight="false" outlineLevel="0" collapsed="false">
      <c r="AF232" s="16" t="s">
        <v>1122</v>
      </c>
      <c r="AG232" s="16" t="n">
        <v>5</v>
      </c>
      <c r="AH232" s="16" t="s">
        <v>774</v>
      </c>
      <c r="AI232" s="16" t="s">
        <v>612</v>
      </c>
      <c r="AJ232" s="16" t="s">
        <v>680</v>
      </c>
      <c r="AK232" s="16" t="s">
        <v>614</v>
      </c>
      <c r="AL232" s="16" t="s">
        <v>832</v>
      </c>
      <c r="AM232" s="16" t="s">
        <v>122</v>
      </c>
      <c r="AN232" s="16" t="s">
        <v>122</v>
      </c>
      <c r="AO232" s="16" t="s">
        <v>660</v>
      </c>
    </row>
    <row r="233" customFormat="false" ht="15" hidden="false" customHeight="false" outlineLevel="0" collapsed="false">
      <c r="AF233" s="16" t="s">
        <v>1123</v>
      </c>
      <c r="AG233" s="16" t="n">
        <v>5</v>
      </c>
      <c r="AH233" s="16" t="s">
        <v>679</v>
      </c>
      <c r="AI233" s="16" t="s">
        <v>612</v>
      </c>
      <c r="AJ233" s="16" t="s">
        <v>613</v>
      </c>
      <c r="AK233" s="16" t="s">
        <v>614</v>
      </c>
      <c r="AL233" s="16" t="s">
        <v>871</v>
      </c>
      <c r="AM233" s="16" t="s">
        <v>121</v>
      </c>
      <c r="AN233" s="16" t="s">
        <v>122</v>
      </c>
      <c r="AO233" s="16" t="s">
        <v>616</v>
      </c>
    </row>
    <row r="234" customFormat="false" ht="15" hidden="false" customHeight="false" outlineLevel="0" collapsed="false">
      <c r="AF234" s="16" t="s">
        <v>1124</v>
      </c>
      <c r="AG234" s="16" t="n">
        <v>5</v>
      </c>
      <c r="AH234" s="16" t="s">
        <v>718</v>
      </c>
      <c r="AI234" s="16" t="s">
        <v>612</v>
      </c>
      <c r="AJ234" s="16" t="s">
        <v>680</v>
      </c>
      <c r="AK234" s="16" t="s">
        <v>658</v>
      </c>
      <c r="AL234" s="16" t="s">
        <v>731</v>
      </c>
      <c r="AM234" s="16" t="s">
        <v>122</v>
      </c>
      <c r="AN234" s="16" t="s">
        <v>121</v>
      </c>
      <c r="AO234" s="16" t="s">
        <v>768</v>
      </c>
    </row>
    <row r="235" customFormat="false" ht="15" hidden="false" customHeight="false" outlineLevel="0" collapsed="false">
      <c r="AF235" s="16" t="s">
        <v>1125</v>
      </c>
      <c r="AG235" s="16" t="n">
        <v>5</v>
      </c>
      <c r="AH235" s="16" t="s">
        <v>611</v>
      </c>
      <c r="AI235" s="16" t="s">
        <v>743</v>
      </c>
      <c r="AJ235" s="16" t="s">
        <v>781</v>
      </c>
      <c r="AK235" s="16" t="s">
        <v>730</v>
      </c>
      <c r="AL235" s="16" t="s">
        <v>638</v>
      </c>
      <c r="AM235" s="16" t="s">
        <v>122</v>
      </c>
      <c r="AN235" s="16" t="s">
        <v>122</v>
      </c>
      <c r="AO235" s="16" t="s">
        <v>660</v>
      </c>
    </row>
    <row r="236" customFormat="false" ht="15" hidden="false" customHeight="false" outlineLevel="0" collapsed="false">
      <c r="AF236" s="16" t="s">
        <v>1126</v>
      </c>
      <c r="AG236" s="16" t="n">
        <v>5</v>
      </c>
      <c r="AH236" s="16" t="s">
        <v>611</v>
      </c>
      <c r="AI236" s="16" t="s">
        <v>612</v>
      </c>
      <c r="AJ236" s="16" t="s">
        <v>795</v>
      </c>
      <c r="AK236" s="16" t="s">
        <v>614</v>
      </c>
      <c r="AL236" s="16" t="s">
        <v>659</v>
      </c>
      <c r="AM236" s="16" t="s">
        <v>121</v>
      </c>
      <c r="AN236" s="16" t="s">
        <v>122</v>
      </c>
      <c r="AO236" s="16" t="s">
        <v>893</v>
      </c>
    </row>
    <row r="237" customFormat="false" ht="15" hidden="false" customHeight="false" outlineLevel="0" collapsed="false">
      <c r="AF237" s="16" t="s">
        <v>1127</v>
      </c>
      <c r="AG237" s="16" t="n">
        <v>5</v>
      </c>
      <c r="AH237" s="16" t="s">
        <v>657</v>
      </c>
      <c r="AI237" s="16" t="s">
        <v>612</v>
      </c>
      <c r="AJ237" s="16" t="s">
        <v>637</v>
      </c>
      <c r="AK237" s="16" t="s">
        <v>658</v>
      </c>
      <c r="AL237" s="16" t="s">
        <v>871</v>
      </c>
      <c r="AM237" s="16" t="s">
        <v>121</v>
      </c>
      <c r="AN237" s="16" t="s">
        <v>122</v>
      </c>
      <c r="AO237" s="16" t="s">
        <v>768</v>
      </c>
    </row>
    <row r="238" customFormat="false" ht="15" hidden="false" customHeight="false" outlineLevel="0" collapsed="false">
      <c r="AF238" s="16" t="s">
        <v>1128</v>
      </c>
      <c r="AG238" s="16" t="n">
        <v>5</v>
      </c>
      <c r="AH238" s="16" t="s">
        <v>657</v>
      </c>
      <c r="AI238" s="16" t="s">
        <v>612</v>
      </c>
      <c r="AJ238" s="16" t="s">
        <v>637</v>
      </c>
      <c r="AK238" s="16" t="s">
        <v>658</v>
      </c>
      <c r="AL238" s="16" t="s">
        <v>871</v>
      </c>
      <c r="AM238" s="16" t="s">
        <v>121</v>
      </c>
      <c r="AN238" s="16" t="s">
        <v>122</v>
      </c>
      <c r="AO238" s="16" t="s">
        <v>957</v>
      </c>
    </row>
    <row r="239" customFormat="false" ht="15" hidden="false" customHeight="false" outlineLevel="0" collapsed="false">
      <c r="AF239" s="16" t="s">
        <v>1129</v>
      </c>
      <c r="AG239" s="16" t="n">
        <v>6</v>
      </c>
      <c r="AH239" s="16" t="s">
        <v>657</v>
      </c>
      <c r="AI239" s="16" t="s">
        <v>612</v>
      </c>
      <c r="AJ239" s="16" t="s">
        <v>881</v>
      </c>
      <c r="AK239" s="16" t="s">
        <v>614</v>
      </c>
      <c r="AL239" s="16" t="s">
        <v>871</v>
      </c>
      <c r="AM239" s="16" t="s">
        <v>121</v>
      </c>
      <c r="AN239" s="16" t="s">
        <v>122</v>
      </c>
      <c r="AO239" s="16" t="s">
        <v>648</v>
      </c>
    </row>
    <row r="240" customFormat="false" ht="15" hidden="false" customHeight="false" outlineLevel="0" collapsed="false">
      <c r="AF240" s="16" t="s">
        <v>1130</v>
      </c>
      <c r="AG240" s="16" t="n">
        <v>6</v>
      </c>
      <c r="AH240" s="16" t="s">
        <v>657</v>
      </c>
      <c r="AI240" s="16" t="s">
        <v>612</v>
      </c>
      <c r="AJ240" s="16" t="s">
        <v>988</v>
      </c>
      <c r="AK240" s="16" t="s">
        <v>658</v>
      </c>
      <c r="AL240" s="16" t="s">
        <v>615</v>
      </c>
      <c r="AM240" s="16" t="s">
        <v>122</v>
      </c>
      <c r="AN240" s="16" t="s">
        <v>122</v>
      </c>
      <c r="AO240" s="16" t="s">
        <v>616</v>
      </c>
    </row>
    <row r="241" customFormat="false" ht="15" hidden="false" customHeight="false" outlineLevel="0" collapsed="false">
      <c r="AF241" s="16" t="s">
        <v>1131</v>
      </c>
      <c r="AG241" s="16" t="n">
        <v>6</v>
      </c>
      <c r="AH241" s="16" t="s">
        <v>636</v>
      </c>
      <c r="AI241" s="16" t="s">
        <v>612</v>
      </c>
      <c r="AJ241" s="16" t="s">
        <v>988</v>
      </c>
      <c r="AK241" s="16" t="s">
        <v>658</v>
      </c>
      <c r="AL241" s="16" t="s">
        <v>615</v>
      </c>
      <c r="AM241" s="16" t="s">
        <v>122</v>
      </c>
      <c r="AN241" s="16" t="s">
        <v>122</v>
      </c>
      <c r="AO241" s="16" t="s">
        <v>639</v>
      </c>
    </row>
    <row r="242" customFormat="false" ht="15" hidden="false" customHeight="false" outlineLevel="0" collapsed="false">
      <c r="AF242" s="16" t="s">
        <v>1132</v>
      </c>
      <c r="AG242" s="16" t="n">
        <v>6</v>
      </c>
      <c r="AH242" s="16" t="s">
        <v>611</v>
      </c>
      <c r="AI242" s="16" t="s">
        <v>743</v>
      </c>
      <c r="AJ242" s="16" t="s">
        <v>881</v>
      </c>
      <c r="AK242" s="16" t="s">
        <v>614</v>
      </c>
      <c r="AL242" s="16" t="s">
        <v>890</v>
      </c>
      <c r="AM242" s="16" t="s">
        <v>121</v>
      </c>
      <c r="AN242" s="16" t="s">
        <v>122</v>
      </c>
      <c r="AO242" s="16" t="s">
        <v>1133</v>
      </c>
    </row>
    <row r="243" customFormat="false" ht="15" hidden="false" customHeight="false" outlineLevel="0" collapsed="false">
      <c r="AF243" s="16" t="s">
        <v>1134</v>
      </c>
      <c r="AG243" s="16" t="n">
        <v>6</v>
      </c>
      <c r="AH243" s="16" t="s">
        <v>657</v>
      </c>
      <c r="AI243" s="16" t="s">
        <v>796</v>
      </c>
      <c r="AJ243" s="16" t="s">
        <v>795</v>
      </c>
      <c r="AK243" s="16" t="s">
        <v>658</v>
      </c>
      <c r="AL243" s="16" t="s">
        <v>906</v>
      </c>
      <c r="AM243" s="16" t="s">
        <v>122</v>
      </c>
      <c r="AN243" s="16" t="s">
        <v>122</v>
      </c>
      <c r="AO243" s="16" t="s">
        <v>768</v>
      </c>
    </row>
    <row r="244" customFormat="false" ht="15" hidden="false" customHeight="false" outlineLevel="0" collapsed="false">
      <c r="AF244" s="16" t="s">
        <v>1135</v>
      </c>
      <c r="AG244" s="16" t="n">
        <v>6</v>
      </c>
      <c r="AH244" s="16" t="s">
        <v>636</v>
      </c>
      <c r="AI244" s="16" t="s">
        <v>743</v>
      </c>
      <c r="AJ244" s="16" t="s">
        <v>781</v>
      </c>
      <c r="AK244" s="16" t="s">
        <v>658</v>
      </c>
      <c r="AL244" s="16" t="s">
        <v>615</v>
      </c>
      <c r="AM244" s="16" t="s">
        <v>122</v>
      </c>
      <c r="AN244" s="16" t="s">
        <v>122</v>
      </c>
      <c r="AO244" s="16" t="s">
        <v>1136</v>
      </c>
    </row>
    <row r="245" customFormat="false" ht="15" hidden="false" customHeight="false" outlineLevel="0" collapsed="false">
      <c r="AF245" s="16" t="s">
        <v>1137</v>
      </c>
      <c r="AG245" s="16" t="n">
        <v>6</v>
      </c>
      <c r="AH245" s="16" t="s">
        <v>679</v>
      </c>
      <c r="AI245" s="16" t="s">
        <v>612</v>
      </c>
      <c r="AJ245" s="16" t="s">
        <v>613</v>
      </c>
      <c r="AK245" s="16" t="s">
        <v>658</v>
      </c>
      <c r="AL245" s="16" t="s">
        <v>615</v>
      </c>
      <c r="AM245" s="16" t="s">
        <v>122</v>
      </c>
      <c r="AN245" s="16" t="s">
        <v>122</v>
      </c>
      <c r="AO245" s="16" t="s">
        <v>616</v>
      </c>
    </row>
    <row r="246" customFormat="false" ht="15" hidden="false" customHeight="false" outlineLevel="0" collapsed="false">
      <c r="AF246" s="16" t="s">
        <v>1138</v>
      </c>
      <c r="AG246" s="16" t="n">
        <v>6</v>
      </c>
      <c r="AH246" s="16" t="s">
        <v>636</v>
      </c>
      <c r="AI246" s="16" t="s">
        <v>612</v>
      </c>
      <c r="AJ246" s="16" t="s">
        <v>795</v>
      </c>
      <c r="AK246" s="16" t="s">
        <v>614</v>
      </c>
      <c r="AL246" s="16" t="s">
        <v>659</v>
      </c>
      <c r="AM246" s="16" t="s">
        <v>121</v>
      </c>
      <c r="AN246" s="16" t="s">
        <v>122</v>
      </c>
      <c r="AO246" s="16" t="s">
        <v>744</v>
      </c>
    </row>
    <row r="247" customFormat="false" ht="15" hidden="false" customHeight="false" outlineLevel="0" collapsed="false">
      <c r="AF247" s="16" t="s">
        <v>1139</v>
      </c>
      <c r="AG247" s="16" t="n">
        <v>6</v>
      </c>
      <c r="AH247" s="16" t="s">
        <v>718</v>
      </c>
      <c r="AI247" s="16" t="s">
        <v>743</v>
      </c>
      <c r="AJ247" s="16" t="s">
        <v>795</v>
      </c>
      <c r="AK247" s="16" t="s">
        <v>658</v>
      </c>
      <c r="AL247" s="16" t="s">
        <v>1140</v>
      </c>
      <c r="AM247" s="16" t="s">
        <v>121</v>
      </c>
      <c r="AN247" s="16" t="s">
        <v>122</v>
      </c>
      <c r="AO247" s="16" t="s">
        <v>897</v>
      </c>
    </row>
    <row r="248" customFormat="false" ht="15" hidden="false" customHeight="false" outlineLevel="0" collapsed="false">
      <c r="AF248" s="16" t="s">
        <v>1141</v>
      </c>
      <c r="AG248" s="16" t="n">
        <v>6</v>
      </c>
      <c r="AH248" s="16" t="s">
        <v>679</v>
      </c>
      <c r="AI248" s="16" t="s">
        <v>612</v>
      </c>
      <c r="AJ248" s="16" t="s">
        <v>613</v>
      </c>
      <c r="AK248" s="16" t="s">
        <v>658</v>
      </c>
      <c r="AL248" s="16" t="s">
        <v>659</v>
      </c>
      <c r="AM248" s="16" t="s">
        <v>121</v>
      </c>
      <c r="AN248" s="16" t="s">
        <v>122</v>
      </c>
      <c r="AO248" s="16" t="s">
        <v>979</v>
      </c>
    </row>
    <row r="249" customFormat="false" ht="15" hidden="false" customHeight="false" outlineLevel="0" collapsed="false">
      <c r="AF249" s="16" t="s">
        <v>1142</v>
      </c>
      <c r="AG249" s="16" t="n">
        <v>6</v>
      </c>
      <c r="AH249" s="16" t="s">
        <v>806</v>
      </c>
      <c r="AI249" s="16" t="s">
        <v>796</v>
      </c>
      <c r="AJ249" s="16" t="s">
        <v>719</v>
      </c>
      <c r="AK249" s="16" t="s">
        <v>658</v>
      </c>
      <c r="AL249" s="16" t="s">
        <v>837</v>
      </c>
      <c r="AM249" s="16" t="s">
        <v>122</v>
      </c>
      <c r="AN249" s="16" t="s">
        <v>121</v>
      </c>
      <c r="AO249" s="16" t="s">
        <v>648</v>
      </c>
    </row>
    <row r="250" customFormat="false" ht="15" hidden="false" customHeight="false" outlineLevel="0" collapsed="false">
      <c r="AF250" s="16" t="s">
        <v>1143</v>
      </c>
      <c r="AG250" s="16" t="n">
        <v>6</v>
      </c>
      <c r="AH250" s="16" t="s">
        <v>657</v>
      </c>
      <c r="AI250" s="16" t="s">
        <v>612</v>
      </c>
      <c r="AJ250" s="16" t="s">
        <v>1058</v>
      </c>
      <c r="AK250" s="16" t="s">
        <v>658</v>
      </c>
      <c r="AL250" s="16" t="s">
        <v>615</v>
      </c>
      <c r="AM250" s="16" t="s">
        <v>122</v>
      </c>
      <c r="AN250" s="16" t="s">
        <v>122</v>
      </c>
      <c r="AO250" s="16" t="s">
        <v>768</v>
      </c>
    </row>
    <row r="251" customFormat="false" ht="15" hidden="false" customHeight="false" outlineLevel="0" collapsed="false">
      <c r="AF251" s="16" t="s">
        <v>1144</v>
      </c>
      <c r="AG251" s="16" t="n">
        <v>6</v>
      </c>
      <c r="AH251" s="16" t="s">
        <v>806</v>
      </c>
      <c r="AI251" s="16" t="s">
        <v>612</v>
      </c>
      <c r="AJ251" s="16" t="s">
        <v>795</v>
      </c>
      <c r="AK251" s="16" t="s">
        <v>658</v>
      </c>
      <c r="AL251" s="16" t="s">
        <v>659</v>
      </c>
      <c r="AM251" s="16" t="s">
        <v>121</v>
      </c>
      <c r="AN251" s="16" t="s">
        <v>122</v>
      </c>
      <c r="AO251" s="16" t="s">
        <v>616</v>
      </c>
    </row>
    <row r="252" customFormat="false" ht="15" hidden="false" customHeight="false" outlineLevel="0" collapsed="false">
      <c r="AF252" s="16" t="s">
        <v>1145</v>
      </c>
      <c r="AG252" s="16" t="n">
        <v>6</v>
      </c>
      <c r="AH252" s="16" t="s">
        <v>806</v>
      </c>
      <c r="AI252" s="16" t="s">
        <v>796</v>
      </c>
      <c r="AJ252" s="16" t="s">
        <v>719</v>
      </c>
      <c r="AK252" s="16" t="s">
        <v>658</v>
      </c>
      <c r="AL252" s="16" t="s">
        <v>837</v>
      </c>
      <c r="AM252" s="16" t="s">
        <v>122</v>
      </c>
      <c r="AN252" s="16" t="s">
        <v>122</v>
      </c>
      <c r="AO252" s="16" t="s">
        <v>902</v>
      </c>
    </row>
    <row r="253" customFormat="false" ht="15" hidden="false" customHeight="false" outlineLevel="0" collapsed="false">
      <c r="AF253" s="16" t="s">
        <v>1146</v>
      </c>
      <c r="AG253" s="16" t="n">
        <v>6</v>
      </c>
      <c r="AH253" s="16" t="s">
        <v>636</v>
      </c>
      <c r="AI253" s="16" t="s">
        <v>612</v>
      </c>
      <c r="AJ253" s="16" t="s">
        <v>613</v>
      </c>
      <c r="AK253" s="16" t="s">
        <v>614</v>
      </c>
      <c r="AL253" s="16" t="s">
        <v>615</v>
      </c>
      <c r="AM253" s="16" t="s">
        <v>122</v>
      </c>
      <c r="AN253" s="16" t="s">
        <v>122</v>
      </c>
      <c r="AO253" s="16" t="s">
        <v>648</v>
      </c>
    </row>
    <row r="254" customFormat="false" ht="15" hidden="false" customHeight="false" outlineLevel="0" collapsed="false">
      <c r="AF254" s="16" t="s">
        <v>1147</v>
      </c>
      <c r="AG254" s="16" t="n">
        <v>6</v>
      </c>
      <c r="AH254" s="16" t="s">
        <v>657</v>
      </c>
      <c r="AI254" s="16" t="s">
        <v>612</v>
      </c>
      <c r="AJ254" s="16" t="s">
        <v>613</v>
      </c>
      <c r="AK254" s="16" t="s">
        <v>614</v>
      </c>
      <c r="AL254" s="16" t="s">
        <v>615</v>
      </c>
      <c r="AM254" s="16" t="s">
        <v>122</v>
      </c>
      <c r="AN254" s="16" t="s">
        <v>122</v>
      </c>
      <c r="AO254" s="16" t="s">
        <v>720</v>
      </c>
    </row>
    <row r="255" customFormat="false" ht="15" hidden="false" customHeight="false" outlineLevel="0" collapsed="false">
      <c r="AF255" s="16" t="s">
        <v>1148</v>
      </c>
      <c r="AG255" s="16" t="n">
        <v>6</v>
      </c>
      <c r="AH255" s="16" t="s">
        <v>611</v>
      </c>
      <c r="AI255" s="16" t="s">
        <v>796</v>
      </c>
      <c r="AJ255" s="16" t="s">
        <v>680</v>
      </c>
      <c r="AK255" s="16" t="s">
        <v>658</v>
      </c>
      <c r="AL255" s="16" t="s">
        <v>615</v>
      </c>
      <c r="AM255" s="16" t="s">
        <v>122</v>
      </c>
      <c r="AN255" s="16" t="s">
        <v>122</v>
      </c>
      <c r="AO255" s="16" t="s">
        <v>720</v>
      </c>
    </row>
    <row r="256" customFormat="false" ht="15" hidden="false" customHeight="false" outlineLevel="0" collapsed="false">
      <c r="AF256" s="16" t="s">
        <v>1149</v>
      </c>
      <c r="AG256" s="16" t="n">
        <v>6</v>
      </c>
      <c r="AH256" s="16" t="s">
        <v>611</v>
      </c>
      <c r="AI256" s="16" t="s">
        <v>743</v>
      </c>
      <c r="AJ256" s="16" t="s">
        <v>719</v>
      </c>
      <c r="AK256" s="16" t="s">
        <v>658</v>
      </c>
      <c r="AL256" s="16" t="s">
        <v>931</v>
      </c>
      <c r="AM256" s="16" t="s">
        <v>122</v>
      </c>
      <c r="AN256" s="16" t="s">
        <v>121</v>
      </c>
      <c r="AO256" s="16" t="s">
        <v>768</v>
      </c>
    </row>
    <row r="257" customFormat="false" ht="15" hidden="false" customHeight="false" outlineLevel="0" collapsed="false">
      <c r="AF257" s="16" t="s">
        <v>1150</v>
      </c>
      <c r="AG257" s="16" t="n">
        <v>6</v>
      </c>
      <c r="AH257" s="16" t="s">
        <v>829</v>
      </c>
      <c r="AI257" s="16" t="s">
        <v>612</v>
      </c>
      <c r="AJ257" s="16" t="s">
        <v>680</v>
      </c>
      <c r="AK257" s="16" t="s">
        <v>822</v>
      </c>
      <c r="AL257" s="16" t="s">
        <v>659</v>
      </c>
      <c r="AM257" s="16" t="s">
        <v>121</v>
      </c>
      <c r="AN257" s="16" t="s">
        <v>122</v>
      </c>
      <c r="AO257" s="16" t="s">
        <v>902</v>
      </c>
    </row>
    <row r="258" customFormat="false" ht="15" hidden="false" customHeight="false" outlineLevel="0" collapsed="false">
      <c r="AF258" s="16" t="s">
        <v>1151</v>
      </c>
      <c r="AG258" s="16" t="n">
        <v>6</v>
      </c>
      <c r="AH258" s="16" t="s">
        <v>636</v>
      </c>
      <c r="AI258" s="16" t="s">
        <v>743</v>
      </c>
      <c r="AJ258" s="16" t="s">
        <v>795</v>
      </c>
      <c r="AK258" s="16" t="s">
        <v>658</v>
      </c>
      <c r="AL258" s="16" t="s">
        <v>931</v>
      </c>
      <c r="AM258" s="16" t="s">
        <v>122</v>
      </c>
      <c r="AN258" s="16" t="s">
        <v>122</v>
      </c>
      <c r="AO258" s="16" t="s">
        <v>768</v>
      </c>
    </row>
    <row r="259" customFormat="false" ht="15" hidden="false" customHeight="false" outlineLevel="0" collapsed="false">
      <c r="AF259" s="16" t="s">
        <v>1152</v>
      </c>
      <c r="AG259" s="16" t="n">
        <v>6</v>
      </c>
      <c r="AH259" s="16" t="s">
        <v>829</v>
      </c>
      <c r="AI259" s="16" t="s">
        <v>612</v>
      </c>
      <c r="AJ259" s="16" t="s">
        <v>613</v>
      </c>
      <c r="AK259" s="16" t="s">
        <v>730</v>
      </c>
      <c r="AL259" s="16" t="s">
        <v>837</v>
      </c>
      <c r="AM259" s="16" t="s">
        <v>122</v>
      </c>
      <c r="AN259" s="16" t="s">
        <v>122</v>
      </c>
      <c r="AO259" s="16" t="s">
        <v>744</v>
      </c>
    </row>
    <row r="260" customFormat="false" ht="15" hidden="false" customHeight="false" outlineLevel="0" collapsed="false">
      <c r="AF260" s="16" t="s">
        <v>1153</v>
      </c>
      <c r="AG260" s="16" t="n">
        <v>6</v>
      </c>
      <c r="AH260" s="16" t="s">
        <v>679</v>
      </c>
      <c r="AI260" s="16" t="s">
        <v>612</v>
      </c>
      <c r="AJ260" s="16" t="s">
        <v>637</v>
      </c>
      <c r="AK260" s="16" t="s">
        <v>658</v>
      </c>
      <c r="AL260" s="16" t="s">
        <v>1154</v>
      </c>
      <c r="AM260" s="16" t="s">
        <v>121</v>
      </c>
      <c r="AN260" s="16" t="s">
        <v>122</v>
      </c>
      <c r="AO260" s="16" t="s">
        <v>957</v>
      </c>
    </row>
    <row r="261" customFormat="false" ht="15" hidden="false" customHeight="false" outlineLevel="0" collapsed="false">
      <c r="AF261" s="16" t="s">
        <v>1155</v>
      </c>
      <c r="AG261" s="16" t="n">
        <v>6</v>
      </c>
      <c r="AH261" s="16" t="s">
        <v>611</v>
      </c>
      <c r="AI261" s="16" t="s">
        <v>796</v>
      </c>
      <c r="AJ261" s="16" t="s">
        <v>613</v>
      </c>
      <c r="AK261" s="16" t="s">
        <v>614</v>
      </c>
      <c r="AL261" s="16" t="s">
        <v>615</v>
      </c>
      <c r="AM261" s="16" t="s">
        <v>122</v>
      </c>
      <c r="AN261" s="16" t="s">
        <v>122</v>
      </c>
      <c r="AO261" s="16" t="s">
        <v>648</v>
      </c>
    </row>
    <row r="262" customFormat="false" ht="15" hidden="false" customHeight="false" outlineLevel="0" collapsed="false">
      <c r="AF262" s="16" t="s">
        <v>1156</v>
      </c>
      <c r="AG262" s="16" t="n">
        <v>6</v>
      </c>
      <c r="AH262" s="16" t="s">
        <v>774</v>
      </c>
      <c r="AI262" s="16" t="s">
        <v>612</v>
      </c>
      <c r="AJ262" s="16" t="s">
        <v>637</v>
      </c>
      <c r="AK262" s="16" t="s">
        <v>658</v>
      </c>
      <c r="AL262" s="16" t="s">
        <v>931</v>
      </c>
      <c r="AM262" s="16" t="s">
        <v>122</v>
      </c>
      <c r="AN262" s="16" t="s">
        <v>122</v>
      </c>
      <c r="AO262" s="16" t="s">
        <v>902</v>
      </c>
    </row>
    <row r="263" customFormat="false" ht="15" hidden="false" customHeight="false" outlineLevel="0" collapsed="false">
      <c r="AF263" s="16" t="s">
        <v>1157</v>
      </c>
      <c r="AG263" s="16" t="n">
        <v>6</v>
      </c>
      <c r="AH263" s="16" t="s">
        <v>657</v>
      </c>
      <c r="AI263" s="16" t="s">
        <v>612</v>
      </c>
      <c r="AJ263" s="16" t="s">
        <v>795</v>
      </c>
      <c r="AK263" s="16" t="s">
        <v>658</v>
      </c>
      <c r="AL263" s="16" t="s">
        <v>659</v>
      </c>
      <c r="AM263" s="16" t="s">
        <v>121</v>
      </c>
      <c r="AN263" s="16" t="s">
        <v>122</v>
      </c>
      <c r="AO263" s="16" t="s">
        <v>957</v>
      </c>
    </row>
    <row r="264" customFormat="false" ht="15" hidden="false" customHeight="false" outlineLevel="0" collapsed="false">
      <c r="AF264" s="16" t="s">
        <v>1158</v>
      </c>
      <c r="AG264" s="16" t="n">
        <v>6</v>
      </c>
      <c r="AH264" s="16" t="s">
        <v>611</v>
      </c>
      <c r="AI264" s="16" t="s">
        <v>612</v>
      </c>
      <c r="AJ264" s="16" t="s">
        <v>781</v>
      </c>
      <c r="AK264" s="16" t="s">
        <v>614</v>
      </c>
      <c r="AL264" s="16" t="s">
        <v>638</v>
      </c>
      <c r="AM264" s="16" t="s">
        <v>122</v>
      </c>
      <c r="AN264" s="16" t="s">
        <v>122</v>
      </c>
      <c r="AO264" s="16" t="s">
        <v>668</v>
      </c>
    </row>
    <row r="265" customFormat="false" ht="15" hidden="false" customHeight="false" outlineLevel="0" collapsed="false">
      <c r="AF265" s="16" t="s">
        <v>1159</v>
      </c>
      <c r="AG265" s="16" t="n">
        <v>6</v>
      </c>
      <c r="AH265" s="16" t="s">
        <v>718</v>
      </c>
      <c r="AI265" s="16" t="s">
        <v>612</v>
      </c>
      <c r="AJ265" s="16" t="s">
        <v>719</v>
      </c>
      <c r="AK265" s="16" t="s">
        <v>658</v>
      </c>
      <c r="AL265" s="16" t="s">
        <v>731</v>
      </c>
      <c r="AM265" s="16" t="s">
        <v>122</v>
      </c>
      <c r="AN265" s="16" t="s">
        <v>122</v>
      </c>
      <c r="AO265" s="16" t="s">
        <v>1041</v>
      </c>
    </row>
    <row r="266" customFormat="false" ht="15" hidden="false" customHeight="false" outlineLevel="0" collapsed="false">
      <c r="AF266" s="16" t="s">
        <v>1160</v>
      </c>
      <c r="AG266" s="16" t="n">
        <v>6</v>
      </c>
      <c r="AH266" s="16" t="s">
        <v>657</v>
      </c>
      <c r="AI266" s="16" t="s">
        <v>612</v>
      </c>
      <c r="AJ266" s="16" t="s">
        <v>637</v>
      </c>
      <c r="AK266" s="16" t="s">
        <v>658</v>
      </c>
      <c r="AL266" s="16" t="s">
        <v>871</v>
      </c>
      <c r="AM266" s="16" t="s">
        <v>121</v>
      </c>
      <c r="AN266" s="16" t="s">
        <v>122</v>
      </c>
      <c r="AO266" s="16" t="s">
        <v>768</v>
      </c>
    </row>
    <row r="267" customFormat="false" ht="15" hidden="false" customHeight="false" outlineLevel="0" collapsed="false">
      <c r="AF267" s="16" t="s">
        <v>1161</v>
      </c>
      <c r="AG267" s="16" t="n">
        <v>6</v>
      </c>
      <c r="AH267" s="16" t="s">
        <v>611</v>
      </c>
      <c r="AI267" s="16" t="s">
        <v>612</v>
      </c>
      <c r="AJ267" s="16" t="s">
        <v>637</v>
      </c>
      <c r="AK267" s="16" t="s">
        <v>658</v>
      </c>
      <c r="AL267" s="16" t="s">
        <v>871</v>
      </c>
      <c r="AM267" s="16" t="s">
        <v>121</v>
      </c>
      <c r="AN267" s="16" t="s">
        <v>122</v>
      </c>
      <c r="AO267" s="16" t="s">
        <v>668</v>
      </c>
    </row>
    <row r="268" customFormat="false" ht="15" hidden="false" customHeight="false" outlineLevel="0" collapsed="false">
      <c r="AF268" s="16" t="s">
        <v>1162</v>
      </c>
      <c r="AG268" s="16" t="n">
        <v>6</v>
      </c>
      <c r="AH268" s="16" t="s">
        <v>679</v>
      </c>
      <c r="AI268" s="16" t="s">
        <v>743</v>
      </c>
      <c r="AJ268" s="16" t="s">
        <v>680</v>
      </c>
      <c r="AK268" s="16" t="s">
        <v>658</v>
      </c>
      <c r="AL268" s="16" t="s">
        <v>832</v>
      </c>
      <c r="AM268" s="16" t="s">
        <v>122</v>
      </c>
      <c r="AN268" s="16" t="s">
        <v>122</v>
      </c>
      <c r="AO268" s="16" t="s">
        <v>668</v>
      </c>
    </row>
    <row r="269" customFormat="false" ht="15" hidden="false" customHeight="false" outlineLevel="0" collapsed="false">
      <c r="AF269" s="16" t="s">
        <v>1163</v>
      </c>
      <c r="AG269" s="16" t="n">
        <v>6</v>
      </c>
      <c r="AH269" s="16" t="s">
        <v>611</v>
      </c>
      <c r="AI269" s="16" t="s">
        <v>612</v>
      </c>
      <c r="AJ269" s="16" t="s">
        <v>1164</v>
      </c>
      <c r="AK269" s="16" t="s">
        <v>822</v>
      </c>
      <c r="AL269" s="16" t="s">
        <v>615</v>
      </c>
      <c r="AM269" s="16" t="s">
        <v>122</v>
      </c>
      <c r="AN269" s="16" t="s">
        <v>122</v>
      </c>
      <c r="AO269" s="16" t="s">
        <v>648</v>
      </c>
    </row>
    <row r="270" customFormat="false" ht="15" hidden="false" customHeight="false" outlineLevel="0" collapsed="false">
      <c r="AF270" s="16" t="s">
        <v>1165</v>
      </c>
      <c r="AG270" s="16" t="n">
        <v>7</v>
      </c>
      <c r="AH270" s="16" t="s">
        <v>657</v>
      </c>
      <c r="AI270" s="16" t="s">
        <v>612</v>
      </c>
      <c r="AJ270" s="16" t="s">
        <v>613</v>
      </c>
      <c r="AK270" s="16" t="s">
        <v>658</v>
      </c>
      <c r="AL270" s="16" t="s">
        <v>659</v>
      </c>
      <c r="AM270" s="16" t="s">
        <v>121</v>
      </c>
      <c r="AN270" s="16" t="s">
        <v>122</v>
      </c>
      <c r="AO270" s="16" t="s">
        <v>902</v>
      </c>
    </row>
    <row r="271" customFormat="false" ht="15" hidden="false" customHeight="false" outlineLevel="0" collapsed="false">
      <c r="AF271" s="16" t="s">
        <v>1166</v>
      </c>
      <c r="AG271" s="16" t="n">
        <v>7</v>
      </c>
      <c r="AH271" s="16" t="s">
        <v>611</v>
      </c>
      <c r="AI271" s="16" t="s">
        <v>743</v>
      </c>
      <c r="AJ271" s="16" t="s">
        <v>881</v>
      </c>
      <c r="AK271" s="16" t="s">
        <v>614</v>
      </c>
      <c r="AL271" s="16" t="s">
        <v>890</v>
      </c>
      <c r="AM271" s="16" t="s">
        <v>121</v>
      </c>
      <c r="AN271" s="16" t="s">
        <v>122</v>
      </c>
      <c r="AO271" s="16" t="s">
        <v>648</v>
      </c>
    </row>
    <row r="272" customFormat="false" ht="15" hidden="false" customHeight="false" outlineLevel="0" collapsed="false">
      <c r="AF272" s="16" t="s">
        <v>1167</v>
      </c>
      <c r="AG272" s="16" t="n">
        <v>7</v>
      </c>
      <c r="AH272" s="16" t="s">
        <v>657</v>
      </c>
      <c r="AI272" s="16" t="s">
        <v>612</v>
      </c>
      <c r="AJ272" s="16" t="s">
        <v>988</v>
      </c>
      <c r="AK272" s="16" t="s">
        <v>658</v>
      </c>
      <c r="AL272" s="16" t="s">
        <v>659</v>
      </c>
      <c r="AM272" s="16" t="s">
        <v>121</v>
      </c>
      <c r="AN272" s="16" t="s">
        <v>122</v>
      </c>
      <c r="AO272" s="16" t="s">
        <v>616</v>
      </c>
    </row>
    <row r="273" customFormat="false" ht="15" hidden="false" customHeight="false" outlineLevel="0" collapsed="false">
      <c r="AF273" s="16" t="s">
        <v>1168</v>
      </c>
      <c r="AG273" s="16" t="n">
        <v>7</v>
      </c>
      <c r="AH273" s="16" t="s">
        <v>657</v>
      </c>
      <c r="AI273" s="16" t="s">
        <v>814</v>
      </c>
      <c r="AJ273" s="16" t="s">
        <v>680</v>
      </c>
      <c r="AK273" s="16" t="s">
        <v>822</v>
      </c>
      <c r="AL273" s="16" t="s">
        <v>615</v>
      </c>
      <c r="AM273" s="16" t="s">
        <v>122</v>
      </c>
      <c r="AN273" s="16" t="s">
        <v>122</v>
      </c>
      <c r="AO273" s="16" t="s">
        <v>648</v>
      </c>
    </row>
    <row r="274" customFormat="false" ht="15" hidden="false" customHeight="false" outlineLevel="0" collapsed="false">
      <c r="AF274" s="16" t="s">
        <v>1169</v>
      </c>
      <c r="AG274" s="16" t="n">
        <v>7</v>
      </c>
      <c r="AH274" s="16" t="s">
        <v>679</v>
      </c>
      <c r="AI274" s="16" t="s">
        <v>612</v>
      </c>
      <c r="AJ274" s="16" t="s">
        <v>795</v>
      </c>
      <c r="AK274" s="16" t="s">
        <v>614</v>
      </c>
      <c r="AL274" s="16" t="s">
        <v>832</v>
      </c>
      <c r="AM274" s="16" t="s">
        <v>122</v>
      </c>
      <c r="AN274" s="16" t="s">
        <v>122</v>
      </c>
      <c r="AO274" s="16" t="s">
        <v>1041</v>
      </c>
    </row>
    <row r="275" customFormat="false" ht="15" hidden="false" customHeight="false" outlineLevel="0" collapsed="false">
      <c r="AF275" s="16" t="s">
        <v>1170</v>
      </c>
      <c r="AG275" s="16" t="n">
        <v>7</v>
      </c>
      <c r="AH275" s="16" t="s">
        <v>636</v>
      </c>
      <c r="AI275" s="16" t="s">
        <v>612</v>
      </c>
      <c r="AJ275" s="16" t="s">
        <v>613</v>
      </c>
      <c r="AK275" s="16" t="s">
        <v>614</v>
      </c>
      <c r="AL275" s="16" t="s">
        <v>615</v>
      </c>
      <c r="AM275" s="16" t="s">
        <v>122</v>
      </c>
      <c r="AN275" s="16" t="s">
        <v>122</v>
      </c>
      <c r="AO275" s="16" t="s">
        <v>639</v>
      </c>
    </row>
    <row r="276" customFormat="false" ht="15" hidden="false" customHeight="false" outlineLevel="0" collapsed="false">
      <c r="AF276" s="16" t="s">
        <v>1171</v>
      </c>
      <c r="AG276" s="16" t="n">
        <v>7</v>
      </c>
      <c r="AH276" s="16" t="s">
        <v>657</v>
      </c>
      <c r="AI276" s="16" t="s">
        <v>612</v>
      </c>
      <c r="AJ276" s="16" t="s">
        <v>988</v>
      </c>
      <c r="AK276" s="16" t="s">
        <v>614</v>
      </c>
      <c r="AL276" s="16" t="s">
        <v>615</v>
      </c>
      <c r="AM276" s="16" t="s">
        <v>122</v>
      </c>
      <c r="AN276" s="16" t="s">
        <v>122</v>
      </c>
      <c r="AO276" s="16" t="s">
        <v>1110</v>
      </c>
    </row>
    <row r="277" customFormat="false" ht="15" hidden="false" customHeight="false" outlineLevel="0" collapsed="false">
      <c r="AF277" s="16" t="s">
        <v>1172</v>
      </c>
      <c r="AG277" s="16" t="n">
        <v>7</v>
      </c>
      <c r="AH277" s="16" t="s">
        <v>657</v>
      </c>
      <c r="AI277" s="16" t="s">
        <v>612</v>
      </c>
      <c r="AJ277" s="16" t="s">
        <v>1173</v>
      </c>
      <c r="AK277" s="16" t="s">
        <v>658</v>
      </c>
      <c r="AL277" s="16" t="s">
        <v>731</v>
      </c>
      <c r="AM277" s="16" t="s">
        <v>122</v>
      </c>
      <c r="AN277" s="16" t="s">
        <v>122</v>
      </c>
      <c r="AO277" s="16" t="s">
        <v>907</v>
      </c>
    </row>
    <row r="278" customFormat="false" ht="15" hidden="false" customHeight="false" outlineLevel="0" collapsed="false">
      <c r="AF278" s="16" t="s">
        <v>1174</v>
      </c>
      <c r="AG278" s="16" t="n">
        <v>7</v>
      </c>
      <c r="AH278" s="16" t="s">
        <v>611</v>
      </c>
      <c r="AI278" s="16" t="s">
        <v>743</v>
      </c>
      <c r="AJ278" s="16" t="s">
        <v>1058</v>
      </c>
      <c r="AK278" s="16" t="s">
        <v>658</v>
      </c>
      <c r="AL278" s="16" t="s">
        <v>837</v>
      </c>
      <c r="AM278" s="16" t="s">
        <v>122</v>
      </c>
      <c r="AN278" s="16" t="s">
        <v>122</v>
      </c>
      <c r="AO278" s="16" t="s">
        <v>902</v>
      </c>
    </row>
    <row r="279" customFormat="false" ht="15" hidden="false" customHeight="false" outlineLevel="0" collapsed="false">
      <c r="AF279" s="16" t="s">
        <v>1175</v>
      </c>
      <c r="AG279" s="16" t="n">
        <v>7</v>
      </c>
      <c r="AH279" s="16" t="s">
        <v>774</v>
      </c>
      <c r="AI279" s="16" t="s">
        <v>796</v>
      </c>
      <c r="AJ279" s="16" t="s">
        <v>1176</v>
      </c>
      <c r="AK279" s="16" t="s">
        <v>614</v>
      </c>
      <c r="AL279" s="16" t="s">
        <v>906</v>
      </c>
      <c r="AM279" s="16" t="s">
        <v>122</v>
      </c>
      <c r="AN279" s="16" t="s">
        <v>122</v>
      </c>
      <c r="AO279" s="16" t="s">
        <v>1177</v>
      </c>
    </row>
    <row r="280" customFormat="false" ht="15" hidden="false" customHeight="false" outlineLevel="0" collapsed="false">
      <c r="AF280" s="16" t="s">
        <v>1178</v>
      </c>
      <c r="AG280" s="16" t="n">
        <v>7</v>
      </c>
      <c r="AH280" s="16" t="s">
        <v>611</v>
      </c>
      <c r="AI280" s="16" t="s">
        <v>612</v>
      </c>
      <c r="AJ280" s="16" t="s">
        <v>719</v>
      </c>
      <c r="AK280" s="16" t="s">
        <v>658</v>
      </c>
      <c r="AL280" s="16" t="s">
        <v>615</v>
      </c>
      <c r="AM280" s="16" t="s">
        <v>122</v>
      </c>
      <c r="AN280" s="16" t="s">
        <v>122</v>
      </c>
      <c r="AO280" s="16" t="s">
        <v>1179</v>
      </c>
    </row>
    <row r="281" customFormat="false" ht="15" hidden="false" customHeight="false" outlineLevel="0" collapsed="false">
      <c r="AF281" s="16" t="s">
        <v>1180</v>
      </c>
      <c r="AG281" s="16" t="n">
        <v>7</v>
      </c>
      <c r="AH281" s="16" t="s">
        <v>657</v>
      </c>
      <c r="AI281" s="16" t="s">
        <v>612</v>
      </c>
      <c r="AJ281" s="16" t="s">
        <v>795</v>
      </c>
      <c r="AK281" s="16" t="s">
        <v>614</v>
      </c>
      <c r="AL281" s="16" t="s">
        <v>615</v>
      </c>
      <c r="AM281" s="16" t="s">
        <v>122</v>
      </c>
      <c r="AN281" s="16" t="s">
        <v>122</v>
      </c>
      <c r="AO281" s="16" t="s">
        <v>616</v>
      </c>
    </row>
    <row r="282" customFormat="false" ht="15" hidden="false" customHeight="false" outlineLevel="0" collapsed="false">
      <c r="AF282" s="16" t="s">
        <v>1181</v>
      </c>
      <c r="AG282" s="16" t="n">
        <v>7</v>
      </c>
      <c r="AH282" s="16" t="s">
        <v>774</v>
      </c>
      <c r="AI282" s="16" t="s">
        <v>612</v>
      </c>
      <c r="AJ282" s="16" t="s">
        <v>1182</v>
      </c>
      <c r="AK282" s="16" t="s">
        <v>658</v>
      </c>
      <c r="AL282" s="16" t="s">
        <v>1140</v>
      </c>
      <c r="AM282" s="16" t="s">
        <v>121</v>
      </c>
      <c r="AN282" s="16" t="s">
        <v>122</v>
      </c>
      <c r="AO282" s="16" t="s">
        <v>902</v>
      </c>
    </row>
    <row r="283" customFormat="false" ht="15" hidden="false" customHeight="false" outlineLevel="0" collapsed="false">
      <c r="AF283" s="16" t="s">
        <v>1183</v>
      </c>
      <c r="AG283" s="16" t="n">
        <v>7</v>
      </c>
      <c r="AH283" s="16" t="s">
        <v>679</v>
      </c>
      <c r="AI283" s="16" t="s">
        <v>743</v>
      </c>
      <c r="AJ283" s="16" t="s">
        <v>719</v>
      </c>
      <c r="AK283" s="16" t="s">
        <v>658</v>
      </c>
      <c r="AL283" s="16" t="s">
        <v>731</v>
      </c>
      <c r="AM283" s="16" t="s">
        <v>122</v>
      </c>
      <c r="AN283" s="16" t="s">
        <v>122</v>
      </c>
      <c r="AO283" s="16" t="s">
        <v>897</v>
      </c>
    </row>
    <row r="284" customFormat="false" ht="15" hidden="false" customHeight="false" outlineLevel="0" collapsed="false">
      <c r="AF284" s="16" t="s">
        <v>1184</v>
      </c>
      <c r="AG284" s="16" t="n">
        <v>7</v>
      </c>
      <c r="AH284" s="16" t="s">
        <v>636</v>
      </c>
      <c r="AI284" s="16" t="s">
        <v>731</v>
      </c>
      <c r="AJ284" s="16" t="s">
        <v>719</v>
      </c>
      <c r="AK284" s="16" t="s">
        <v>658</v>
      </c>
      <c r="AL284" s="16" t="s">
        <v>615</v>
      </c>
      <c r="AM284" s="16" t="s">
        <v>122</v>
      </c>
      <c r="AN284" s="16" t="s">
        <v>122</v>
      </c>
      <c r="AO284" s="16" t="s">
        <v>842</v>
      </c>
    </row>
    <row r="285" customFormat="false" ht="15" hidden="false" customHeight="false" outlineLevel="0" collapsed="false">
      <c r="AF285" s="16" t="s">
        <v>1185</v>
      </c>
      <c r="AG285" s="16" t="n">
        <v>7</v>
      </c>
      <c r="AH285" s="16" t="s">
        <v>679</v>
      </c>
      <c r="AI285" s="16" t="s">
        <v>612</v>
      </c>
      <c r="AJ285" s="16" t="s">
        <v>1173</v>
      </c>
      <c r="AK285" s="16" t="s">
        <v>658</v>
      </c>
      <c r="AL285" s="16" t="s">
        <v>659</v>
      </c>
      <c r="AM285" s="16" t="s">
        <v>121</v>
      </c>
      <c r="AN285" s="16" t="s">
        <v>122</v>
      </c>
      <c r="AO285" s="16" t="s">
        <v>957</v>
      </c>
    </row>
    <row r="286" customFormat="false" ht="15" hidden="false" customHeight="false" outlineLevel="0" collapsed="false">
      <c r="AF286" s="16" t="s">
        <v>1186</v>
      </c>
      <c r="AG286" s="16" t="n">
        <v>7</v>
      </c>
      <c r="AH286" s="16" t="s">
        <v>679</v>
      </c>
      <c r="AI286" s="16" t="s">
        <v>612</v>
      </c>
      <c r="AJ286" s="16" t="s">
        <v>719</v>
      </c>
      <c r="AK286" s="16" t="s">
        <v>658</v>
      </c>
      <c r="AL286" s="16" t="s">
        <v>931</v>
      </c>
      <c r="AM286" s="16" t="s">
        <v>122</v>
      </c>
      <c r="AN286" s="16" t="s">
        <v>122</v>
      </c>
      <c r="AO286" s="16" t="s">
        <v>768</v>
      </c>
    </row>
    <row r="287" customFormat="false" ht="15" hidden="false" customHeight="false" outlineLevel="0" collapsed="false">
      <c r="AF287" s="16" t="s">
        <v>1187</v>
      </c>
      <c r="AG287" s="16" t="n">
        <v>7</v>
      </c>
      <c r="AH287" s="16" t="s">
        <v>774</v>
      </c>
      <c r="AI287" s="16" t="s">
        <v>1188</v>
      </c>
      <c r="AJ287" s="16" t="s">
        <v>719</v>
      </c>
      <c r="AK287" s="16" t="s">
        <v>658</v>
      </c>
      <c r="AL287" s="16" t="s">
        <v>931</v>
      </c>
      <c r="AM287" s="16" t="s">
        <v>122</v>
      </c>
      <c r="AN287" s="16" t="s">
        <v>122</v>
      </c>
      <c r="AO287" s="16" t="s">
        <v>768</v>
      </c>
    </row>
    <row r="288" customFormat="false" ht="15" hidden="false" customHeight="false" outlineLevel="0" collapsed="false">
      <c r="AF288" s="16" t="s">
        <v>1189</v>
      </c>
      <c r="AG288" s="16" t="n">
        <v>7</v>
      </c>
      <c r="AH288" s="16" t="s">
        <v>806</v>
      </c>
      <c r="AI288" s="16" t="s">
        <v>743</v>
      </c>
      <c r="AJ288" s="16" t="s">
        <v>719</v>
      </c>
      <c r="AK288" s="16" t="s">
        <v>658</v>
      </c>
      <c r="AL288" s="16" t="s">
        <v>931</v>
      </c>
      <c r="AM288" s="16" t="s">
        <v>122</v>
      </c>
      <c r="AN288" s="16" t="s">
        <v>122</v>
      </c>
      <c r="AO288" s="16" t="s">
        <v>999</v>
      </c>
    </row>
    <row r="289" customFormat="false" ht="15" hidden="false" customHeight="false" outlineLevel="0" collapsed="false">
      <c r="AF289" s="16" t="s">
        <v>1190</v>
      </c>
      <c r="AG289" s="16" t="n">
        <v>7</v>
      </c>
      <c r="AH289" s="16" t="s">
        <v>611</v>
      </c>
      <c r="AI289" s="16" t="s">
        <v>612</v>
      </c>
      <c r="AJ289" s="16" t="s">
        <v>781</v>
      </c>
      <c r="AK289" s="16" t="s">
        <v>822</v>
      </c>
      <c r="AL289" s="16" t="s">
        <v>615</v>
      </c>
      <c r="AM289" s="16" t="s">
        <v>122</v>
      </c>
      <c r="AN289" s="16" t="s">
        <v>122</v>
      </c>
      <c r="AO289" s="16" t="s">
        <v>660</v>
      </c>
    </row>
    <row r="290" customFormat="false" ht="15" hidden="false" customHeight="false" outlineLevel="0" collapsed="false">
      <c r="AF290" s="16" t="s">
        <v>1191</v>
      </c>
      <c r="AG290" s="16" t="n">
        <v>8</v>
      </c>
      <c r="AH290" s="16" t="s">
        <v>679</v>
      </c>
      <c r="AI290" s="16" t="s">
        <v>612</v>
      </c>
      <c r="AJ290" s="16" t="s">
        <v>680</v>
      </c>
      <c r="AK290" s="16" t="s">
        <v>614</v>
      </c>
      <c r="AL290" s="16" t="s">
        <v>1140</v>
      </c>
      <c r="AM290" s="16" t="s">
        <v>121</v>
      </c>
      <c r="AN290" s="16" t="s">
        <v>122</v>
      </c>
      <c r="AO290" s="16" t="s">
        <v>668</v>
      </c>
    </row>
    <row r="291" customFormat="false" ht="15" hidden="false" customHeight="false" outlineLevel="0" collapsed="false">
      <c r="AF291" s="16" t="s">
        <v>1192</v>
      </c>
      <c r="AG291" s="16" t="n">
        <v>8</v>
      </c>
      <c r="AH291" s="16" t="s">
        <v>806</v>
      </c>
      <c r="AI291" s="16" t="s">
        <v>612</v>
      </c>
      <c r="AJ291" s="16" t="s">
        <v>795</v>
      </c>
      <c r="AK291" s="16" t="s">
        <v>658</v>
      </c>
      <c r="AL291" s="16" t="s">
        <v>890</v>
      </c>
      <c r="AM291" s="16" t="s">
        <v>121</v>
      </c>
      <c r="AN291" s="16" t="s">
        <v>122</v>
      </c>
      <c r="AO291" s="16" t="s">
        <v>940</v>
      </c>
    </row>
    <row r="292" customFormat="false" ht="15" hidden="false" customHeight="false" outlineLevel="0" collapsed="false">
      <c r="AF292" s="16" t="s">
        <v>1193</v>
      </c>
      <c r="AG292" s="16" t="n">
        <v>8</v>
      </c>
      <c r="AH292" s="16" t="s">
        <v>829</v>
      </c>
      <c r="AI292" s="16" t="s">
        <v>731</v>
      </c>
      <c r="AJ292" s="16" t="s">
        <v>613</v>
      </c>
      <c r="AK292" s="16" t="s">
        <v>658</v>
      </c>
      <c r="AL292" s="16" t="s">
        <v>906</v>
      </c>
      <c r="AM292" s="16" t="s">
        <v>122</v>
      </c>
      <c r="AN292" s="16" t="s">
        <v>122</v>
      </c>
      <c r="AO292" s="16" t="s">
        <v>954</v>
      </c>
    </row>
    <row r="293" customFormat="false" ht="15" hidden="false" customHeight="false" outlineLevel="0" collapsed="false">
      <c r="AF293" s="16" t="s">
        <v>1194</v>
      </c>
      <c r="AG293" s="16" t="n">
        <v>8</v>
      </c>
      <c r="AH293" s="16" t="s">
        <v>636</v>
      </c>
      <c r="AI293" s="16" t="s">
        <v>731</v>
      </c>
      <c r="AJ293" s="16" t="s">
        <v>719</v>
      </c>
      <c r="AK293" s="16" t="s">
        <v>658</v>
      </c>
      <c r="AL293" s="16" t="s">
        <v>615</v>
      </c>
      <c r="AM293" s="16" t="s">
        <v>122</v>
      </c>
      <c r="AN293" s="16" t="s">
        <v>122</v>
      </c>
      <c r="AO293" s="16" t="s">
        <v>768</v>
      </c>
    </row>
    <row r="294" customFormat="false" ht="15" hidden="false" customHeight="false" outlineLevel="0" collapsed="false">
      <c r="AF294" s="16" t="s">
        <v>1195</v>
      </c>
      <c r="AG294" s="16" t="n">
        <v>8</v>
      </c>
      <c r="AH294" s="16" t="s">
        <v>679</v>
      </c>
      <c r="AI294" s="16" t="s">
        <v>796</v>
      </c>
      <c r="AJ294" s="16" t="s">
        <v>795</v>
      </c>
      <c r="AK294" s="16" t="s">
        <v>658</v>
      </c>
      <c r="AL294" s="16" t="s">
        <v>991</v>
      </c>
      <c r="AM294" s="16" t="s">
        <v>121</v>
      </c>
      <c r="AN294" s="16" t="s">
        <v>122</v>
      </c>
      <c r="AO294" s="16" t="s">
        <v>1059</v>
      </c>
    </row>
    <row r="295" customFormat="false" ht="15" hidden="false" customHeight="false" outlineLevel="0" collapsed="false">
      <c r="AF295" s="16" t="s">
        <v>1196</v>
      </c>
      <c r="AG295" s="16" t="n">
        <v>8</v>
      </c>
      <c r="AH295" s="16" t="s">
        <v>611</v>
      </c>
      <c r="AI295" s="16" t="s">
        <v>612</v>
      </c>
      <c r="AJ295" s="16" t="s">
        <v>613</v>
      </c>
      <c r="AK295" s="16" t="s">
        <v>825</v>
      </c>
      <c r="AL295" s="16" t="s">
        <v>731</v>
      </c>
      <c r="AM295" s="16" t="s">
        <v>122</v>
      </c>
      <c r="AN295" s="16" t="s">
        <v>122</v>
      </c>
      <c r="AO295" s="16" t="s">
        <v>979</v>
      </c>
    </row>
    <row r="296" customFormat="false" ht="15" hidden="false" customHeight="false" outlineLevel="0" collapsed="false">
      <c r="AF296" s="16" t="s">
        <v>1197</v>
      </c>
      <c r="AG296" s="16" t="n">
        <v>8</v>
      </c>
      <c r="AH296" s="16" t="s">
        <v>829</v>
      </c>
      <c r="AI296" s="16" t="s">
        <v>612</v>
      </c>
      <c r="AJ296" s="16" t="s">
        <v>613</v>
      </c>
      <c r="AK296" s="16" t="s">
        <v>614</v>
      </c>
      <c r="AL296" s="16" t="s">
        <v>890</v>
      </c>
      <c r="AM296" s="16" t="s">
        <v>121</v>
      </c>
      <c r="AN296" s="16" t="s">
        <v>122</v>
      </c>
      <c r="AO296" s="16" t="s">
        <v>744</v>
      </c>
    </row>
    <row r="297" customFormat="false" ht="15" hidden="false" customHeight="false" outlineLevel="0" collapsed="false">
      <c r="AF297" s="16" t="s">
        <v>1198</v>
      </c>
      <c r="AG297" s="16" t="n">
        <v>8</v>
      </c>
      <c r="AH297" s="16" t="s">
        <v>657</v>
      </c>
      <c r="AI297" s="16" t="s">
        <v>612</v>
      </c>
      <c r="AJ297" s="16" t="s">
        <v>1062</v>
      </c>
      <c r="AK297" s="16" t="s">
        <v>658</v>
      </c>
      <c r="AL297" s="16" t="s">
        <v>659</v>
      </c>
      <c r="AM297" s="16" t="s">
        <v>121</v>
      </c>
      <c r="AN297" s="16" t="s">
        <v>122</v>
      </c>
      <c r="AO297" s="16" t="s">
        <v>1110</v>
      </c>
    </row>
    <row r="298" customFormat="false" ht="15" hidden="false" customHeight="false" outlineLevel="0" collapsed="false">
      <c r="AF298" s="16" t="s">
        <v>1199</v>
      </c>
      <c r="AG298" s="16" t="n">
        <v>8</v>
      </c>
      <c r="AH298" s="16" t="s">
        <v>829</v>
      </c>
      <c r="AI298" s="16" t="s">
        <v>612</v>
      </c>
      <c r="AJ298" s="16" t="s">
        <v>988</v>
      </c>
      <c r="AK298" s="16" t="s">
        <v>658</v>
      </c>
      <c r="AL298" s="16" t="s">
        <v>615</v>
      </c>
      <c r="AM298" s="16" t="s">
        <v>122</v>
      </c>
      <c r="AN298" s="16" t="s">
        <v>122</v>
      </c>
      <c r="AO298" s="16" t="s">
        <v>1074</v>
      </c>
    </row>
    <row r="299" customFormat="false" ht="15" hidden="false" customHeight="false" outlineLevel="0" collapsed="false">
      <c r="AF299" s="16" t="s">
        <v>1200</v>
      </c>
      <c r="AG299" s="16" t="n">
        <v>8</v>
      </c>
      <c r="AH299" s="16" t="s">
        <v>679</v>
      </c>
      <c r="AI299" s="16" t="s">
        <v>612</v>
      </c>
      <c r="AJ299" s="16" t="s">
        <v>795</v>
      </c>
      <c r="AK299" s="16" t="s">
        <v>822</v>
      </c>
      <c r="AL299" s="16" t="s">
        <v>731</v>
      </c>
      <c r="AM299" s="16" t="s">
        <v>122</v>
      </c>
      <c r="AN299" s="16" t="s">
        <v>122</v>
      </c>
      <c r="AO299" s="16" t="s">
        <v>948</v>
      </c>
    </row>
    <row r="300" customFormat="false" ht="15" hidden="false" customHeight="false" outlineLevel="0" collapsed="false">
      <c r="AF300" s="16" t="s">
        <v>1201</v>
      </c>
      <c r="AG300" s="16" t="n">
        <v>8</v>
      </c>
      <c r="AH300" s="16" t="s">
        <v>806</v>
      </c>
      <c r="AI300" s="16" t="s">
        <v>612</v>
      </c>
      <c r="AJ300" s="16" t="s">
        <v>795</v>
      </c>
      <c r="AK300" s="16" t="s">
        <v>658</v>
      </c>
      <c r="AL300" s="16" t="s">
        <v>659</v>
      </c>
      <c r="AM300" s="16" t="s">
        <v>121</v>
      </c>
      <c r="AN300" s="16" t="s">
        <v>122</v>
      </c>
      <c r="AO300" s="16" t="s">
        <v>648</v>
      </c>
    </row>
    <row r="301" customFormat="false" ht="15" hidden="false" customHeight="false" outlineLevel="0" collapsed="false">
      <c r="AF301" s="16" t="s">
        <v>1202</v>
      </c>
      <c r="AG301" s="16" t="n">
        <v>8</v>
      </c>
      <c r="AH301" s="16" t="s">
        <v>611</v>
      </c>
      <c r="AI301" s="16" t="s">
        <v>612</v>
      </c>
      <c r="AJ301" s="16" t="s">
        <v>988</v>
      </c>
      <c r="AK301" s="16" t="s">
        <v>614</v>
      </c>
      <c r="AL301" s="16" t="s">
        <v>659</v>
      </c>
      <c r="AM301" s="16" t="s">
        <v>121</v>
      </c>
      <c r="AN301" s="16" t="s">
        <v>122</v>
      </c>
      <c r="AO301" s="16" t="s">
        <v>616</v>
      </c>
    </row>
    <row r="302" customFormat="false" ht="15" hidden="false" customHeight="false" outlineLevel="0" collapsed="false">
      <c r="AF302" s="16" t="s">
        <v>1203</v>
      </c>
      <c r="AG302" s="16" t="n">
        <v>8</v>
      </c>
      <c r="AH302" s="16" t="s">
        <v>611</v>
      </c>
      <c r="AI302" s="16" t="s">
        <v>612</v>
      </c>
      <c r="AJ302" s="16" t="s">
        <v>613</v>
      </c>
      <c r="AK302" s="16" t="s">
        <v>614</v>
      </c>
      <c r="AL302" s="16" t="s">
        <v>871</v>
      </c>
      <c r="AM302" s="16" t="s">
        <v>121</v>
      </c>
      <c r="AN302" s="16" t="s">
        <v>122</v>
      </c>
      <c r="AO302" s="16" t="s">
        <v>768</v>
      </c>
    </row>
    <row r="303" customFormat="false" ht="15" hidden="false" customHeight="false" outlineLevel="0" collapsed="false">
      <c r="AF303" s="16" t="s">
        <v>1204</v>
      </c>
      <c r="AG303" s="16" t="n">
        <v>8</v>
      </c>
      <c r="AH303" s="16" t="s">
        <v>806</v>
      </c>
      <c r="AI303" s="16" t="s">
        <v>612</v>
      </c>
      <c r="AJ303" s="16" t="s">
        <v>719</v>
      </c>
      <c r="AK303" s="16" t="s">
        <v>614</v>
      </c>
      <c r="AL303" s="16" t="s">
        <v>837</v>
      </c>
      <c r="AM303" s="16" t="s">
        <v>122</v>
      </c>
      <c r="AN303" s="16" t="s">
        <v>122</v>
      </c>
      <c r="AO303" s="16" t="s">
        <v>902</v>
      </c>
    </row>
    <row r="304" customFormat="false" ht="15" hidden="false" customHeight="false" outlineLevel="0" collapsed="false">
      <c r="AF304" s="16" t="s">
        <v>1205</v>
      </c>
      <c r="AG304" s="16" t="n">
        <v>8</v>
      </c>
      <c r="AH304" s="16" t="s">
        <v>829</v>
      </c>
      <c r="AI304" s="16" t="s">
        <v>612</v>
      </c>
      <c r="AJ304" s="16" t="s">
        <v>613</v>
      </c>
      <c r="AK304" s="16" t="s">
        <v>822</v>
      </c>
      <c r="AL304" s="16" t="s">
        <v>615</v>
      </c>
      <c r="AM304" s="16" t="s">
        <v>122</v>
      </c>
      <c r="AN304" s="16" t="s">
        <v>122</v>
      </c>
      <c r="AO304" s="16" t="s">
        <v>744</v>
      </c>
    </row>
    <row r="305" customFormat="false" ht="15" hidden="false" customHeight="false" outlineLevel="0" collapsed="false">
      <c r="AF305" s="16" t="s">
        <v>1206</v>
      </c>
      <c r="AG305" s="16" t="n">
        <v>8</v>
      </c>
      <c r="AH305" s="16" t="s">
        <v>657</v>
      </c>
      <c r="AI305" s="16" t="s">
        <v>612</v>
      </c>
      <c r="AJ305" s="16" t="s">
        <v>988</v>
      </c>
      <c r="AK305" s="16" t="s">
        <v>658</v>
      </c>
      <c r="AL305" s="16" t="s">
        <v>615</v>
      </c>
      <c r="AM305" s="16" t="s">
        <v>122</v>
      </c>
      <c r="AN305" s="16" t="s">
        <v>122</v>
      </c>
      <c r="AO305" s="16" t="s">
        <v>957</v>
      </c>
    </row>
    <row r="306" customFormat="false" ht="15" hidden="false" customHeight="false" outlineLevel="0" collapsed="false">
      <c r="AF306" s="16" t="s">
        <v>1207</v>
      </c>
      <c r="AG306" s="16" t="n">
        <v>9</v>
      </c>
      <c r="AH306" s="16" t="s">
        <v>636</v>
      </c>
      <c r="AI306" s="16" t="s">
        <v>731</v>
      </c>
      <c r="AJ306" s="16" t="s">
        <v>781</v>
      </c>
      <c r="AK306" s="16" t="s">
        <v>658</v>
      </c>
      <c r="AL306" s="16" t="s">
        <v>1098</v>
      </c>
      <c r="AM306" s="16" t="s">
        <v>122</v>
      </c>
      <c r="AN306" s="16" t="s">
        <v>122</v>
      </c>
      <c r="AO306" s="16" t="s">
        <v>1136</v>
      </c>
    </row>
    <row r="307" customFormat="false" ht="15" hidden="false" customHeight="false" outlineLevel="0" collapsed="false">
      <c r="AF307" s="16" t="s">
        <v>1208</v>
      </c>
      <c r="AG307" s="16" t="n">
        <v>9</v>
      </c>
      <c r="AH307" s="16" t="s">
        <v>718</v>
      </c>
      <c r="AI307" s="16" t="s">
        <v>743</v>
      </c>
      <c r="AJ307" s="16" t="s">
        <v>719</v>
      </c>
      <c r="AK307" s="16" t="s">
        <v>658</v>
      </c>
      <c r="AL307" s="16" t="s">
        <v>832</v>
      </c>
      <c r="AM307" s="16" t="s">
        <v>122</v>
      </c>
      <c r="AN307" s="16" t="s">
        <v>122</v>
      </c>
      <c r="AO307" s="16" t="s">
        <v>1074</v>
      </c>
    </row>
    <row r="308" customFormat="false" ht="15" hidden="false" customHeight="false" outlineLevel="0" collapsed="false">
      <c r="AF308" s="16" t="s">
        <v>1209</v>
      </c>
      <c r="AG308" s="16" t="n">
        <v>9</v>
      </c>
      <c r="AH308" s="16" t="s">
        <v>611</v>
      </c>
      <c r="AI308" s="16" t="s">
        <v>612</v>
      </c>
      <c r="AJ308" s="16" t="s">
        <v>613</v>
      </c>
      <c r="AK308" s="16" t="s">
        <v>658</v>
      </c>
      <c r="AL308" s="16" t="s">
        <v>659</v>
      </c>
      <c r="AM308" s="16" t="s">
        <v>121</v>
      </c>
      <c r="AN308" s="16" t="s">
        <v>122</v>
      </c>
      <c r="AO308" s="16" t="s">
        <v>1210</v>
      </c>
    </row>
    <row r="309" customFormat="false" ht="15" hidden="false" customHeight="false" outlineLevel="0" collapsed="false">
      <c r="AF309" s="16" t="s">
        <v>1211</v>
      </c>
      <c r="AG309" s="16" t="n">
        <v>9</v>
      </c>
      <c r="AH309" s="16" t="s">
        <v>806</v>
      </c>
      <c r="AI309" s="16" t="s">
        <v>743</v>
      </c>
      <c r="AJ309" s="16" t="s">
        <v>680</v>
      </c>
      <c r="AK309" s="16" t="s">
        <v>658</v>
      </c>
      <c r="AL309" s="16" t="s">
        <v>931</v>
      </c>
      <c r="AM309" s="16" t="s">
        <v>122</v>
      </c>
      <c r="AN309" s="16" t="s">
        <v>122</v>
      </c>
      <c r="AO309" s="16" t="s">
        <v>979</v>
      </c>
    </row>
    <row r="310" customFormat="false" ht="15" hidden="false" customHeight="false" outlineLevel="0" collapsed="false">
      <c r="AF310" s="16" t="s">
        <v>1212</v>
      </c>
      <c r="AG310" s="16" t="n">
        <v>9</v>
      </c>
      <c r="AH310" s="16" t="s">
        <v>611</v>
      </c>
      <c r="AI310" s="16" t="s">
        <v>612</v>
      </c>
      <c r="AJ310" s="16" t="s">
        <v>613</v>
      </c>
      <c r="AK310" s="16" t="s">
        <v>614</v>
      </c>
      <c r="AL310" s="16" t="s">
        <v>615</v>
      </c>
      <c r="AM310" s="16" t="s">
        <v>122</v>
      </c>
      <c r="AN310" s="16" t="s">
        <v>122</v>
      </c>
      <c r="AO310" s="16" t="s">
        <v>648</v>
      </c>
    </row>
    <row r="311" customFormat="false" ht="15" hidden="false" customHeight="false" outlineLevel="0" collapsed="false">
      <c r="AF311" s="16" t="s">
        <v>1213</v>
      </c>
      <c r="AG311" s="16" t="n">
        <v>9</v>
      </c>
      <c r="AH311" s="16" t="s">
        <v>657</v>
      </c>
      <c r="AI311" s="16" t="s">
        <v>612</v>
      </c>
      <c r="AJ311" s="16" t="s">
        <v>1003</v>
      </c>
      <c r="AK311" s="16" t="s">
        <v>614</v>
      </c>
      <c r="AL311" s="16" t="s">
        <v>615</v>
      </c>
      <c r="AM311" s="16" t="s">
        <v>122</v>
      </c>
      <c r="AN311" s="16" t="s">
        <v>122</v>
      </c>
      <c r="AO311" s="16" t="s">
        <v>616</v>
      </c>
    </row>
    <row r="312" customFormat="false" ht="15" hidden="false" customHeight="false" outlineLevel="0" collapsed="false">
      <c r="AF312" s="16" t="s">
        <v>1214</v>
      </c>
      <c r="AG312" s="16" t="n">
        <v>9</v>
      </c>
      <c r="AH312" s="16" t="s">
        <v>829</v>
      </c>
      <c r="AI312" s="16" t="s">
        <v>612</v>
      </c>
      <c r="AJ312" s="16" t="s">
        <v>613</v>
      </c>
      <c r="AK312" s="16" t="s">
        <v>822</v>
      </c>
      <c r="AL312" s="16" t="s">
        <v>615</v>
      </c>
      <c r="AM312" s="16" t="s">
        <v>122</v>
      </c>
      <c r="AN312" s="16" t="s">
        <v>122</v>
      </c>
      <c r="AO312" s="16" t="s">
        <v>744</v>
      </c>
    </row>
    <row r="313" customFormat="false" ht="15" hidden="false" customHeight="false" outlineLevel="0" collapsed="false">
      <c r="AF313" s="16" t="s">
        <v>1215</v>
      </c>
      <c r="AG313" s="16" t="n">
        <v>9</v>
      </c>
      <c r="AH313" s="16" t="s">
        <v>806</v>
      </c>
      <c r="AI313" s="16" t="s">
        <v>612</v>
      </c>
      <c r="AJ313" s="16" t="s">
        <v>613</v>
      </c>
      <c r="AK313" s="16" t="s">
        <v>614</v>
      </c>
      <c r="AL313" s="16" t="s">
        <v>796</v>
      </c>
      <c r="AM313" s="16" t="s">
        <v>122</v>
      </c>
      <c r="AN313" s="16" t="s">
        <v>122</v>
      </c>
      <c r="AO313" s="16" t="s">
        <v>768</v>
      </c>
    </row>
    <row r="314" customFormat="false" ht="15" hidden="false" customHeight="false" outlineLevel="0" collapsed="false">
      <c r="AF314" s="16" t="s">
        <v>1216</v>
      </c>
      <c r="AG314" s="16" t="n">
        <v>9</v>
      </c>
      <c r="AH314" s="16" t="s">
        <v>679</v>
      </c>
      <c r="AI314" s="16" t="s">
        <v>612</v>
      </c>
      <c r="AJ314" s="16" t="s">
        <v>795</v>
      </c>
      <c r="AK314" s="16" t="s">
        <v>658</v>
      </c>
      <c r="AL314" s="16" t="s">
        <v>890</v>
      </c>
      <c r="AM314" s="16" t="s">
        <v>121</v>
      </c>
      <c r="AN314" s="16" t="s">
        <v>122</v>
      </c>
      <c r="AO314" s="16" t="s">
        <v>954</v>
      </c>
    </row>
    <row r="315" customFormat="false" ht="15" hidden="false" customHeight="false" outlineLevel="0" collapsed="false">
      <c r="AF315" s="16" t="s">
        <v>1217</v>
      </c>
      <c r="AG315" s="16" t="n">
        <v>9</v>
      </c>
      <c r="AH315" s="16" t="s">
        <v>611</v>
      </c>
      <c r="AI315" s="16" t="s">
        <v>612</v>
      </c>
      <c r="AJ315" s="16" t="s">
        <v>1176</v>
      </c>
      <c r="AK315" s="16" t="s">
        <v>614</v>
      </c>
      <c r="AL315" s="16" t="s">
        <v>659</v>
      </c>
      <c r="AM315" s="16" t="s">
        <v>121</v>
      </c>
      <c r="AN315" s="16" t="s">
        <v>122</v>
      </c>
      <c r="AO315" s="16" t="s">
        <v>668</v>
      </c>
    </row>
    <row r="316" customFormat="false" ht="15" hidden="false" customHeight="false" outlineLevel="0" collapsed="false">
      <c r="AF316" s="16" t="s">
        <v>1218</v>
      </c>
      <c r="AG316" s="16" t="n">
        <v>9</v>
      </c>
      <c r="AH316" s="16" t="s">
        <v>679</v>
      </c>
      <c r="AI316" s="16" t="s">
        <v>612</v>
      </c>
      <c r="AJ316" s="16" t="s">
        <v>795</v>
      </c>
      <c r="AK316" s="16" t="s">
        <v>822</v>
      </c>
      <c r="AL316" s="16" t="s">
        <v>615</v>
      </c>
      <c r="AM316" s="16" t="s">
        <v>122</v>
      </c>
      <c r="AN316" s="16" t="s">
        <v>122</v>
      </c>
      <c r="AO316" s="16" t="s">
        <v>616</v>
      </c>
    </row>
    <row r="317" customFormat="false" ht="15" hidden="false" customHeight="false" outlineLevel="0" collapsed="false">
      <c r="AF317" s="16" t="s">
        <v>1219</v>
      </c>
      <c r="AG317" s="16" t="n">
        <v>9</v>
      </c>
      <c r="AH317" s="16" t="s">
        <v>679</v>
      </c>
      <c r="AI317" s="16" t="s">
        <v>612</v>
      </c>
      <c r="AJ317" s="16" t="s">
        <v>680</v>
      </c>
      <c r="AK317" s="16" t="s">
        <v>658</v>
      </c>
      <c r="AL317" s="16" t="s">
        <v>890</v>
      </c>
      <c r="AM317" s="16" t="s">
        <v>121</v>
      </c>
      <c r="AN317" s="16" t="s">
        <v>122</v>
      </c>
      <c r="AO317" s="16" t="s">
        <v>907</v>
      </c>
    </row>
    <row r="318" customFormat="false" ht="15" hidden="false" customHeight="false" outlineLevel="0" collapsed="false">
      <c r="AF318" s="16" t="s">
        <v>1220</v>
      </c>
      <c r="AG318" s="16" t="n">
        <v>9</v>
      </c>
      <c r="AH318" s="16" t="s">
        <v>636</v>
      </c>
      <c r="AI318" s="16" t="s">
        <v>731</v>
      </c>
      <c r="AJ318" s="16" t="s">
        <v>719</v>
      </c>
      <c r="AK318" s="16" t="s">
        <v>658</v>
      </c>
      <c r="AL318" s="16" t="s">
        <v>615</v>
      </c>
      <c r="AM318" s="16" t="s">
        <v>122</v>
      </c>
      <c r="AN318" s="16" t="s">
        <v>122</v>
      </c>
      <c r="AO318" s="16" t="s">
        <v>720</v>
      </c>
    </row>
    <row r="319" customFormat="false" ht="15" hidden="false" customHeight="false" outlineLevel="0" collapsed="false">
      <c r="AF319" s="16" t="s">
        <v>1221</v>
      </c>
      <c r="AG319" s="16" t="n">
        <v>9</v>
      </c>
      <c r="AH319" s="16" t="s">
        <v>774</v>
      </c>
      <c r="AI319" s="16" t="s">
        <v>612</v>
      </c>
      <c r="AJ319" s="16" t="s">
        <v>637</v>
      </c>
      <c r="AK319" s="16" t="s">
        <v>614</v>
      </c>
      <c r="AL319" s="16" t="s">
        <v>659</v>
      </c>
      <c r="AM319" s="16" t="s">
        <v>121</v>
      </c>
      <c r="AN319" s="16" t="s">
        <v>122</v>
      </c>
      <c r="AO319" s="16" t="s">
        <v>768</v>
      </c>
    </row>
    <row r="320" customFormat="false" ht="15" hidden="false" customHeight="false" outlineLevel="0" collapsed="false">
      <c r="AF320" s="16" t="s">
        <v>1222</v>
      </c>
      <c r="AG320" s="16" t="n">
        <v>9</v>
      </c>
      <c r="AH320" s="16" t="s">
        <v>611</v>
      </c>
      <c r="AI320" s="16" t="s">
        <v>612</v>
      </c>
      <c r="AJ320" s="16" t="s">
        <v>795</v>
      </c>
      <c r="AK320" s="16" t="s">
        <v>822</v>
      </c>
      <c r="AL320" s="16" t="s">
        <v>615</v>
      </c>
      <c r="AM320" s="16" t="s">
        <v>122</v>
      </c>
      <c r="AN320" s="16" t="s">
        <v>122</v>
      </c>
      <c r="AO320" s="16" t="s">
        <v>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2026-10-15T18:59:00Z</dcterms:created>
  <dc:creator>openpyxl</dc:creator>
  <dc:description/>
  <dc:language>en-US</dc:language>
  <cp:lastModifiedBy/>
  <dcterms:modified xsi:type="dcterms:W3CDTF">2026-10-15T18:59:00Z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